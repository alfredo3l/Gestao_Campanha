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Downloads\"/>
    </mc:Choice>
  </mc:AlternateContent>
  <xr:revisionPtr revIDLastSave="0" documentId="8_{53948A8E-5623-466F-A684-67C982BD6466}" xr6:coauthVersionLast="47" xr6:coauthVersionMax="47" xr10:uidLastSave="{00000000-0000-0000-0000-000000000000}"/>
  <bookViews>
    <workbookView xWindow="-110" yWindow="-110" windowWidth="25820" windowHeight="13900" activeTab="1" xr2:uid="{8642CE4A-79FC-40E8-8CBC-7861D9CB2C92}"/>
  </bookViews>
  <sheets>
    <sheet name="MACRO" sheetId="1" r:id="rId1"/>
    <sheet name="Controle de Despesas" sheetId="3" r:id="rId2"/>
    <sheet name="Planos de Contas" sheetId="5" r:id="rId3"/>
    <sheet name="Dashboard" sheetId="6" r:id="rId4"/>
  </sheets>
  <definedNames>
    <definedName name="_xlnm._FilterDatabase" localSheetId="1" hidden="1">'Controle de Despesas'!$B$2:$J$2</definedName>
    <definedName name="_xlnm.Print_Area" localSheetId="1">'Controle de Despesas'!$A$1:$J$233</definedName>
    <definedName name="_xlnm.Print_Titles" localSheetId="1">'Controle de Despesas'!$1:$2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I14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I4" i="3"/>
  <c r="I5" i="3"/>
  <c r="I6" i="3"/>
  <c r="I7" i="3"/>
  <c r="I9" i="3"/>
  <c r="I10" i="3"/>
  <c r="I11" i="3"/>
  <c r="I12" i="3"/>
  <c r="I13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3" i="3"/>
  <c r="H82" i="1" l="1"/>
  <c r="G19" i="1"/>
  <c r="G11" i="1"/>
  <c r="G81" i="1"/>
  <c r="G38" i="1"/>
  <c r="G46" i="1"/>
  <c r="G56" i="1"/>
  <c r="G68" i="1"/>
</calcChain>
</file>

<file path=xl/sharedStrings.xml><?xml version="1.0" encoding="utf-8"?>
<sst xmlns="http://schemas.openxmlformats.org/spreadsheetml/2006/main" count="730" uniqueCount="98">
  <si>
    <t>CONTABILIDADE</t>
  </si>
  <si>
    <t>FISCAIS SEÇÕES ELEITORAIS- 602</t>
  </si>
  <si>
    <t>CONVENÇÃO ESTRUTURA</t>
  </si>
  <si>
    <t>PREVISÃO DE GASTOS</t>
  </si>
  <si>
    <t>OUT</t>
  </si>
  <si>
    <t>SET</t>
  </si>
  <si>
    <t>NOV</t>
  </si>
  <si>
    <t>AG</t>
  </si>
  <si>
    <t>JUL</t>
  </si>
  <si>
    <t>TOTAL:</t>
  </si>
  <si>
    <t>SALÁRIOS PRODUTORA</t>
  </si>
  <si>
    <t xml:space="preserve">PRODUTORA </t>
  </si>
  <si>
    <t>MATERIAL PRODUTORA</t>
  </si>
  <si>
    <t>ESCRITÓRIO</t>
  </si>
  <si>
    <t>TECNICOS E CONTADORES</t>
  </si>
  <si>
    <t>COMITÊ PONTO 45</t>
  </si>
  <si>
    <t>DIVERSOS</t>
  </si>
  <si>
    <t>ALUGUEL</t>
  </si>
  <si>
    <t>AGUA E LUZ LOCAL</t>
  </si>
  <si>
    <t>DIVERSOS PRODUTOS DE LIMPEZA</t>
  </si>
  <si>
    <t>MATERIAL DE CONSUMO</t>
  </si>
  <si>
    <t>ALUGUEL  PRODUTORA</t>
  </si>
  <si>
    <t>LOCAÇÃO IMPRESSORA</t>
  </si>
  <si>
    <t>ALUGUEL CONTABILIDADE</t>
  </si>
  <si>
    <t>AGUA /LUZ/INTERNET</t>
  </si>
  <si>
    <t>ZERO</t>
  </si>
  <si>
    <t>PEN DRIVES</t>
  </si>
  <si>
    <t>PASTAS CLASSIFICADORAS</t>
  </si>
  <si>
    <t>DIVERSOS MATERIAIS DE LIMPEZA</t>
  </si>
  <si>
    <t>DIVERSO MATERIAIS DE ESCRITORIO</t>
  </si>
  <si>
    <t>ÁGUA E LUZ</t>
  </si>
  <si>
    <t>PROPORCIONAL</t>
  </si>
  <si>
    <t>MAJORITÁRIA</t>
  </si>
  <si>
    <t>GRÁFICA</t>
  </si>
  <si>
    <t>ALUGUEL ESCRITÓRIO</t>
  </si>
  <si>
    <t>CONDOMÍNIO ESC.</t>
  </si>
  <si>
    <t>LUZ E INTERNET</t>
  </si>
  <si>
    <t>HOTEL PL</t>
  </si>
  <si>
    <t xml:space="preserve">BALÕES CONVENÇÃO </t>
  </si>
  <si>
    <t xml:space="preserve">DRYWALL </t>
  </si>
  <si>
    <t xml:space="preserve">IPHONE </t>
  </si>
  <si>
    <t>PEN DRIVE</t>
  </si>
  <si>
    <t>INSTALAÇÃO AR CONDICIONADO - 3</t>
  </si>
  <si>
    <t>MOBILIA ESCRITÓRIO</t>
  </si>
  <si>
    <t>FILTRO DE ÁGUA + INSTALAÇÃO</t>
  </si>
  <si>
    <t>MATERIAL CONVENÇÃO</t>
  </si>
  <si>
    <t>TOTAL GERAL:</t>
  </si>
  <si>
    <t>VIGILANCIA</t>
  </si>
  <si>
    <t>CARREGADOR (GILVAN)</t>
  </si>
  <si>
    <t>LOCAÇÃO CADEIRAS CAMPANHA</t>
  </si>
  <si>
    <t xml:space="preserve">GÁS </t>
  </si>
  <si>
    <t>REPASSE LUISA</t>
  </si>
  <si>
    <t>SETINHA</t>
  </si>
  <si>
    <t>COMBUSTÍVEL</t>
  </si>
  <si>
    <t>MATERIAL BENÍCIO</t>
  </si>
  <si>
    <t>FALTA</t>
  </si>
  <si>
    <t>DESPESAS</t>
  </si>
  <si>
    <t>CARROS- 03</t>
  </si>
  <si>
    <t>COMBUSTÍVEL 1000LTS</t>
  </si>
  <si>
    <t>OBSERVAÇÕES</t>
  </si>
  <si>
    <t>GERAL</t>
  </si>
  <si>
    <t>LANÇAR DESP JUN/AG</t>
  </si>
  <si>
    <t>FALTA ORÇAMENTO</t>
  </si>
  <si>
    <t>VERIFICAR G. HOTEL</t>
  </si>
  <si>
    <t>AFASTADOS</t>
  </si>
  <si>
    <t xml:space="preserve"> GILVAN</t>
  </si>
  <si>
    <t xml:space="preserve"> THIAGO</t>
  </si>
  <si>
    <t xml:space="preserve"> KASSIA</t>
  </si>
  <si>
    <t xml:space="preserve"> MUARA</t>
  </si>
  <si>
    <t>VERIFICAR</t>
  </si>
  <si>
    <t>TABONI</t>
  </si>
  <si>
    <t>NÃO</t>
  </si>
  <si>
    <t>SOBRA</t>
  </si>
  <si>
    <t>MATERIAL ESC. ( COMPUTADOR)</t>
  </si>
  <si>
    <t xml:space="preserve">TOTAL  </t>
  </si>
  <si>
    <t xml:space="preserve">BANDEIRAS </t>
  </si>
  <si>
    <t>ADVOGADO G</t>
  </si>
  <si>
    <t>PESQUISA (BRASILÂNDIA)</t>
  </si>
  <si>
    <t>ALIMENTAÇÃO</t>
  </si>
  <si>
    <t>DIARISTA (19/08)</t>
  </si>
  <si>
    <t xml:space="preserve">SITE </t>
  </si>
  <si>
    <t>Plano de Conta</t>
  </si>
  <si>
    <t>Descrição</t>
  </si>
  <si>
    <t>Valor R$</t>
  </si>
  <si>
    <t>Vencimento</t>
  </si>
  <si>
    <t>Status</t>
  </si>
  <si>
    <t>Data Pagamento</t>
  </si>
  <si>
    <t>Item</t>
  </si>
  <si>
    <t>Mês</t>
  </si>
  <si>
    <t>PRODUTORA</t>
  </si>
  <si>
    <t>Observações</t>
  </si>
  <si>
    <t>AGOSTO</t>
  </si>
  <si>
    <t xml:space="preserve">JULHO </t>
  </si>
  <si>
    <t>SETEMBRO</t>
  </si>
  <si>
    <t>JULHO</t>
  </si>
  <si>
    <t>OUTUBRO</t>
  </si>
  <si>
    <t>CONTROLE DE DESPESAS MENSAIS</t>
  </si>
  <si>
    <t>Plano de ContaS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</si>
</sst>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6" formatCode="&quot;R$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44" fontId="0" fillId="0" borderId="1" xfId="0" applyNumberFormat="1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3" xfId="0" applyNumberForma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44" fontId="0" fillId="0" borderId="1" xfId="0" applyNumberFormat="1" applyBorder="1" applyAlignment="1">
      <alignment horizontal="center"/>
    </xf>
    <xf numFmtId="44" fontId="0" fillId="0" borderId="2" xfId="0" applyNumberFormat="1" applyBorder="1"/>
    <xf numFmtId="44" fontId="0" fillId="0" borderId="10" xfId="0" applyNumberFormat="1" applyBorder="1"/>
    <xf numFmtId="44" fontId="0" fillId="2" borderId="1" xfId="0" applyNumberFormat="1" applyFill="1" applyBorder="1"/>
    <xf numFmtId="44" fontId="0" fillId="2" borderId="4" xfId="0" applyNumberFormat="1" applyFill="1" applyBorder="1"/>
    <xf numFmtId="0" fontId="2" fillId="3" borderId="14" xfId="0" applyFont="1" applyFill="1" applyBorder="1"/>
    <xf numFmtId="44" fontId="0" fillId="3" borderId="1" xfId="0" applyNumberFormat="1" applyFill="1" applyBorder="1"/>
    <xf numFmtId="44" fontId="0" fillId="3" borderId="4" xfId="0" applyNumberFormat="1" applyFill="1" applyBorder="1"/>
    <xf numFmtId="0" fontId="2" fillId="2" borderId="13" xfId="0" applyFont="1" applyFill="1" applyBorder="1"/>
    <xf numFmtId="0" fontId="0" fillId="2" borderId="0" xfId="0" applyFill="1"/>
    <xf numFmtId="0" fontId="2" fillId="5" borderId="14" xfId="0" applyFont="1" applyFill="1" applyBorder="1"/>
    <xf numFmtId="44" fontId="0" fillId="5" borderId="1" xfId="0" applyNumberFormat="1" applyFill="1" applyBorder="1"/>
    <xf numFmtId="44" fontId="0" fillId="5" borderId="4" xfId="0" applyNumberFormat="1" applyFill="1" applyBorder="1"/>
    <xf numFmtId="0" fontId="2" fillId="5" borderId="13" xfId="0" applyFont="1" applyFill="1" applyBorder="1"/>
    <xf numFmtId="44" fontId="3" fillId="2" borderId="1" xfId="0" applyNumberFormat="1" applyFont="1" applyFill="1" applyBorder="1"/>
    <xf numFmtId="44" fontId="3" fillId="5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0" fontId="2" fillId="3" borderId="13" xfId="0" applyFont="1" applyFill="1" applyBorder="1"/>
    <xf numFmtId="44" fontId="0" fillId="5" borderId="10" xfId="0" applyNumberFormat="1" applyFill="1" applyBorder="1"/>
    <xf numFmtId="44" fontId="0" fillId="5" borderId="5" xfId="0" applyNumberFormat="1" applyFill="1" applyBorder="1"/>
    <xf numFmtId="0" fontId="2" fillId="6" borderId="6" xfId="0" applyFont="1" applyFill="1" applyBorder="1"/>
    <xf numFmtId="44" fontId="0" fillId="6" borderId="7" xfId="0" applyNumberFormat="1" applyFill="1" applyBorder="1"/>
    <xf numFmtId="44" fontId="0" fillId="6" borderId="9" xfId="0" applyNumberFormat="1" applyFill="1" applyBorder="1"/>
    <xf numFmtId="4" fontId="0" fillId="0" borderId="0" xfId="0" applyNumberFormat="1"/>
    <xf numFmtId="0" fontId="2" fillId="0" borderId="15" xfId="0" applyFont="1" applyBorder="1"/>
    <xf numFmtId="0" fontId="1" fillId="5" borderId="15" xfId="0" applyFont="1" applyFill="1" applyBorder="1"/>
    <xf numFmtId="0" fontId="0" fillId="5" borderId="1" xfId="0" applyFill="1" applyBorder="1"/>
    <xf numFmtId="0" fontId="2" fillId="2" borderId="1" xfId="0" applyFont="1" applyFill="1" applyBorder="1"/>
    <xf numFmtId="44" fontId="0" fillId="6" borderId="1" xfId="0" applyNumberFormat="1" applyFill="1" applyBorder="1"/>
    <xf numFmtId="44" fontId="3" fillId="6" borderId="10" xfId="0" applyNumberFormat="1" applyFont="1" applyFill="1" applyBorder="1"/>
    <xf numFmtId="44" fontId="0" fillId="0" borderId="0" xfId="0" applyNumberFormat="1"/>
    <xf numFmtId="0" fontId="2" fillId="7" borderId="14" xfId="0" applyFont="1" applyFill="1" applyBorder="1"/>
    <xf numFmtId="44" fontId="0" fillId="7" borderId="1" xfId="0" applyNumberFormat="1" applyFill="1" applyBorder="1"/>
    <xf numFmtId="44" fontId="0" fillId="7" borderId="4" xfId="0" applyNumberFormat="1" applyFill="1" applyBorder="1"/>
    <xf numFmtId="0" fontId="0" fillId="0" borderId="4" xfId="0" applyBorder="1"/>
    <xf numFmtId="44" fontId="1" fillId="0" borderId="3" xfId="0" applyNumberFormat="1" applyFont="1" applyBorder="1"/>
    <xf numFmtId="0" fontId="1" fillId="0" borderId="17" xfId="0" applyFont="1" applyBorder="1"/>
    <xf numFmtId="44" fontId="0" fillId="0" borderId="2" xfId="0" applyNumberFormat="1" applyBorder="1" applyAlignment="1">
      <alignment horizontal="center"/>
    </xf>
    <xf numFmtId="0" fontId="1" fillId="4" borderId="6" xfId="0" applyFont="1" applyFill="1" applyBorder="1"/>
    <xf numFmtId="0" fontId="0" fillId="4" borderId="7" xfId="0" applyFill="1" applyBorder="1" applyAlignment="1">
      <alignment horizontal="center"/>
    </xf>
    <xf numFmtId="0" fontId="1" fillId="4" borderId="7" xfId="0" applyFont="1" applyFill="1" applyBorder="1"/>
    <xf numFmtId="0" fontId="1" fillId="4" borderId="8" xfId="0" applyFont="1" applyFill="1" applyBorder="1"/>
    <xf numFmtId="44" fontId="1" fillId="5" borderId="4" xfId="0" applyNumberFormat="1" applyFont="1" applyFill="1" applyBorder="1"/>
    <xf numFmtId="44" fontId="0" fillId="2" borderId="4" xfId="0" applyNumberFormat="1" applyFill="1" applyBorder="1" applyAlignment="1">
      <alignment horizontal="left"/>
    </xf>
    <xf numFmtId="44" fontId="1" fillId="5" borderId="4" xfId="0" applyNumberFormat="1" applyFont="1" applyFill="1" applyBorder="1" applyAlignment="1">
      <alignment horizontal="left"/>
    </xf>
    <xf numFmtId="0" fontId="4" fillId="0" borderId="0" xfId="0" applyFont="1"/>
    <xf numFmtId="0" fontId="2" fillId="8" borderId="16" xfId="0" applyFont="1" applyFill="1" applyBorder="1"/>
    <xf numFmtId="44" fontId="2" fillId="2" borderId="2" xfId="0" applyNumberFormat="1" applyFont="1" applyFill="1" applyBorder="1"/>
    <xf numFmtId="44" fontId="4" fillId="2" borderId="1" xfId="0" applyNumberFormat="1" applyFont="1" applyFill="1" applyBorder="1"/>
    <xf numFmtId="44" fontId="5" fillId="2" borderId="1" xfId="0" applyNumberFormat="1" applyFont="1" applyFill="1" applyBorder="1"/>
    <xf numFmtId="4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44" fontId="4" fillId="0" borderId="0" xfId="0" applyNumberFormat="1" applyFont="1"/>
    <xf numFmtId="44" fontId="0" fillId="2" borderId="5" xfId="0" applyNumberFormat="1" applyFill="1" applyBorder="1"/>
    <xf numFmtId="44" fontId="5" fillId="2" borderId="10" xfId="0" applyNumberFormat="1" applyFont="1" applyFill="1" applyBorder="1"/>
    <xf numFmtId="44" fontId="5" fillId="2" borderId="8" xfId="0" applyNumberFormat="1" applyFont="1" applyFill="1" applyBorder="1"/>
    <xf numFmtId="44" fontId="0" fillId="6" borderId="1" xfId="0" applyNumberFormat="1" applyFill="1" applyBorder="1" applyAlignment="1">
      <alignment horizontal="center"/>
    </xf>
    <xf numFmtId="44" fontId="0" fillId="9" borderId="10" xfId="0" applyNumberFormat="1" applyFill="1" applyBorder="1"/>
    <xf numFmtId="44" fontId="0" fillId="9" borderId="1" xfId="0" applyNumberFormat="1" applyFill="1" applyBorder="1"/>
    <xf numFmtId="0" fontId="2" fillId="7" borderId="1" xfId="0" applyFont="1" applyFill="1" applyBorder="1"/>
    <xf numFmtId="44" fontId="3" fillId="7" borderId="1" xfId="0" applyNumberFormat="1" applyFont="1" applyFill="1" applyBorder="1"/>
    <xf numFmtId="44" fontId="3" fillId="7" borderId="4" xfId="0" applyNumberFormat="1" applyFont="1" applyFill="1" applyBorder="1"/>
    <xf numFmtId="0" fontId="6" fillId="10" borderId="18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2" fillId="0" borderId="20" xfId="0" applyFont="1" applyBorder="1"/>
    <xf numFmtId="14" fontId="0" fillId="0" borderId="20" xfId="0" applyNumberFormat="1" applyBorder="1" applyAlignment="1">
      <alignment horizontal="center"/>
    </xf>
    <xf numFmtId="0" fontId="0" fillId="0" borderId="20" xfId="0" applyBorder="1"/>
    <xf numFmtId="166" fontId="0" fillId="0" borderId="20" xfId="0" applyNumberFormat="1" applyBorder="1" applyAlignment="1">
      <alignment horizont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numFmt numFmtId="166" formatCode="&quot;R$&quot;\ #,##0.00"/>
      <alignment horizont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diagonalUp="0" diagonalDown="0" outline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</border>
    </dxf>
    <dxf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A1BFD-6AF2-46A5-A6AB-C51D0F434255}" name="Tabela1" displayName="Tabela1" ref="B2:J233" totalsRowShown="0" headerRowDxfId="11">
  <autoFilter ref="B2:J233" xr:uid="{2CBA1BFD-6AF2-46A5-A6AB-C51D0F434255}"/>
  <tableColumns count="9">
    <tableColumn id="1" xr3:uid="{10485844-B134-4E40-B3AD-EE3EF0B31FEB}" name="Item" dataDxfId="10"/>
    <tableColumn id="2" xr3:uid="{1D9208EC-4BB2-410F-9F17-B46025056172}" name="Mês" dataDxfId="9"/>
    <tableColumn id="3" xr3:uid="{DB1D1943-5CBB-4C91-981E-40A8E897A3AC}" name="Plano de Conta" dataDxfId="8"/>
    <tableColumn id="4" xr3:uid="{06093A02-100D-4FA7-B357-1D3E5D917C05}" name="Descrição" dataDxfId="4"/>
    <tableColumn id="5" xr3:uid="{9D9CA645-FF55-4204-80F1-40E64EE2A56A}" name="Valor R$" dataDxfId="2"/>
    <tableColumn id="6" xr3:uid="{D8B91119-92E1-4EDF-AFD6-26EFF5F6647A}" name="Vencimento" dataDxfId="3"/>
    <tableColumn id="7" xr3:uid="{E20627E6-62A2-4D13-B574-FF8B541AD227}" name="Data Pagamento" dataDxfId="7"/>
    <tableColumn id="8" xr3:uid="{5099F35A-D23F-4C31-94CD-1FEBF70F9E15}" name="Status" dataDxfId="6">
      <calculatedColumnFormula>IF(G3="","",IF(H3&lt;&gt;"","PAGO","A PAGAR"))</calculatedColumnFormula>
    </tableColumn>
    <tableColumn id="9" xr3:uid="{79FE5C05-9786-4CA2-A3F6-7C1964C97788}" name="Observações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95E8-F537-4F77-8C77-169AF203EEE6}">
  <sheetPr>
    <pageSetUpPr fitToPage="1"/>
  </sheetPr>
  <dimension ref="A3:J86"/>
  <sheetViews>
    <sheetView topLeftCell="A30" zoomScaleNormal="100" workbookViewId="0">
      <selection activeCell="B21" sqref="B21"/>
    </sheetView>
  </sheetViews>
  <sheetFormatPr defaultRowHeight="14.5" x14ac:dyDescent="0.35"/>
  <cols>
    <col min="1" max="1" width="29.1796875" customWidth="1"/>
    <col min="2" max="2" width="13.81640625" customWidth="1"/>
    <col min="3" max="3" width="13.453125" customWidth="1"/>
    <col min="4" max="4" width="13.54296875" customWidth="1"/>
    <col min="5" max="5" width="13.26953125" bestFit="1" customWidth="1"/>
    <col min="6" max="6" width="12.453125" customWidth="1"/>
    <col min="7" max="8" width="19.26953125" customWidth="1"/>
    <col min="9" max="9" width="19.453125" style="55" customWidth="1"/>
    <col min="10" max="10" width="14.26953125" customWidth="1"/>
  </cols>
  <sheetData>
    <row r="3" spans="1:9" ht="15" thickBot="1" x14ac:dyDescent="0.4"/>
    <row r="4" spans="1:9" ht="15" thickBot="1" x14ac:dyDescent="0.4">
      <c r="A4" s="48" t="s">
        <v>3</v>
      </c>
      <c r="B4" s="49" t="s">
        <v>8</v>
      </c>
      <c r="C4" s="49" t="s">
        <v>7</v>
      </c>
      <c r="D4" s="49" t="s">
        <v>5</v>
      </c>
      <c r="E4" s="49" t="s">
        <v>4</v>
      </c>
      <c r="F4" s="49" t="s">
        <v>6</v>
      </c>
      <c r="G4" s="50" t="s">
        <v>74</v>
      </c>
      <c r="H4" s="51" t="s">
        <v>60</v>
      </c>
      <c r="I4" s="56" t="s">
        <v>59</v>
      </c>
    </row>
    <row r="5" spans="1:9" x14ac:dyDescent="0.35">
      <c r="A5" s="46"/>
      <c r="B5" s="47"/>
      <c r="C5" s="47"/>
      <c r="D5" s="47"/>
      <c r="E5" s="47"/>
      <c r="F5" s="47"/>
      <c r="G5" s="45"/>
      <c r="H5" s="45"/>
      <c r="I5" s="57"/>
    </row>
    <row r="6" spans="1:9" x14ac:dyDescent="0.35">
      <c r="A6" s="5" t="s">
        <v>31</v>
      </c>
      <c r="B6" s="9"/>
      <c r="C6" s="9"/>
      <c r="D6" s="9"/>
      <c r="E6" s="9"/>
      <c r="F6" s="9"/>
      <c r="G6" s="2">
        <v>3000000</v>
      </c>
      <c r="H6" s="2">
        <v>2433000</v>
      </c>
      <c r="I6" s="58"/>
    </row>
    <row r="7" spans="1:9" x14ac:dyDescent="0.35">
      <c r="A7" s="5" t="s">
        <v>32</v>
      </c>
      <c r="B7" s="9"/>
      <c r="C7" s="9"/>
      <c r="D7" s="9"/>
      <c r="E7" s="9"/>
      <c r="F7" s="9"/>
      <c r="G7" s="2">
        <v>273000</v>
      </c>
      <c r="H7" s="2">
        <v>273000</v>
      </c>
      <c r="I7" s="59" t="s">
        <v>69</v>
      </c>
    </row>
    <row r="8" spans="1:9" x14ac:dyDescent="0.35">
      <c r="A8" s="6" t="s">
        <v>58</v>
      </c>
      <c r="B8" s="10"/>
      <c r="C8" s="10"/>
      <c r="D8" s="10"/>
      <c r="E8" s="10"/>
      <c r="F8" s="4"/>
      <c r="G8" s="4">
        <v>6500</v>
      </c>
      <c r="H8" s="4">
        <v>6500</v>
      </c>
      <c r="I8" s="59"/>
    </row>
    <row r="9" spans="1:9" x14ac:dyDescent="0.35">
      <c r="A9" s="7" t="s">
        <v>57</v>
      </c>
      <c r="B9" s="1"/>
      <c r="C9" s="1">
        <v>15000</v>
      </c>
      <c r="D9" s="1">
        <v>15000</v>
      </c>
      <c r="E9" s="1">
        <v>15000</v>
      </c>
      <c r="F9" s="2"/>
      <c r="G9" s="2">
        <v>45000</v>
      </c>
      <c r="H9" s="2">
        <v>45000</v>
      </c>
      <c r="I9" s="59"/>
    </row>
    <row r="10" spans="1:9" x14ac:dyDescent="0.35">
      <c r="A10" s="7"/>
      <c r="B10" s="1"/>
      <c r="C10" s="1"/>
      <c r="D10" s="1"/>
      <c r="E10" s="1"/>
      <c r="F10" s="2"/>
      <c r="G10" s="2"/>
      <c r="H10" s="2"/>
      <c r="I10" s="59"/>
    </row>
    <row r="11" spans="1:9" x14ac:dyDescent="0.35">
      <c r="A11" s="22" t="s">
        <v>9</v>
      </c>
      <c r="B11" s="20"/>
      <c r="C11" s="20"/>
      <c r="D11" s="20"/>
      <c r="E11" s="20"/>
      <c r="F11" s="21"/>
      <c r="G11" s="54">
        <f>SUM(G6:G10)</f>
        <v>3324500</v>
      </c>
      <c r="H11" s="53"/>
      <c r="I11" s="60"/>
    </row>
    <row r="12" spans="1:9" x14ac:dyDescent="0.35">
      <c r="A12" s="27" t="s">
        <v>15</v>
      </c>
      <c r="B12" s="15"/>
      <c r="C12" s="15"/>
      <c r="D12" s="15"/>
      <c r="E12" s="15"/>
      <c r="F12" s="16"/>
      <c r="G12" s="16"/>
      <c r="H12" s="13"/>
      <c r="I12" s="59"/>
    </row>
    <row r="13" spans="1:9" x14ac:dyDescent="0.35">
      <c r="A13" s="7" t="s">
        <v>17</v>
      </c>
      <c r="B13" s="1"/>
      <c r="C13" s="1">
        <v>4000</v>
      </c>
      <c r="D13" s="1">
        <v>4000</v>
      </c>
      <c r="E13" s="1">
        <v>4000</v>
      </c>
      <c r="F13" s="2"/>
      <c r="G13" s="2">
        <v>12000</v>
      </c>
      <c r="H13" s="2">
        <v>12000</v>
      </c>
      <c r="I13" s="59"/>
    </row>
    <row r="14" spans="1:9" x14ac:dyDescent="0.35">
      <c r="A14" s="7" t="s">
        <v>18</v>
      </c>
      <c r="B14" s="38">
        <v>112</v>
      </c>
      <c r="C14" s="1"/>
      <c r="D14" s="1"/>
      <c r="E14" s="1"/>
      <c r="F14" s="2"/>
      <c r="G14" s="2">
        <v>2000</v>
      </c>
      <c r="H14" s="2">
        <v>2000</v>
      </c>
      <c r="I14" s="59"/>
    </row>
    <row r="15" spans="1:9" x14ac:dyDescent="0.35">
      <c r="A15" s="7" t="s">
        <v>19</v>
      </c>
      <c r="B15" s="1"/>
      <c r="C15" s="1"/>
      <c r="D15" s="1"/>
      <c r="E15" s="1"/>
      <c r="F15" s="2"/>
      <c r="G15" s="2">
        <v>500</v>
      </c>
      <c r="H15" s="2">
        <v>500</v>
      </c>
      <c r="I15" s="59"/>
    </row>
    <row r="16" spans="1:9" x14ac:dyDescent="0.35">
      <c r="A16" s="7" t="s">
        <v>20</v>
      </c>
      <c r="B16" s="1"/>
      <c r="C16" s="1"/>
      <c r="D16" s="1"/>
      <c r="E16" s="1"/>
      <c r="F16" s="2"/>
      <c r="G16" s="2">
        <v>1000</v>
      </c>
      <c r="H16" s="2">
        <v>1000</v>
      </c>
      <c r="I16" s="59"/>
    </row>
    <row r="17" spans="1:9" x14ac:dyDescent="0.35">
      <c r="A17" s="7" t="s">
        <v>49</v>
      </c>
      <c r="B17" s="1"/>
      <c r="C17" s="1"/>
      <c r="D17" s="1"/>
      <c r="E17" s="1"/>
      <c r="F17" s="2"/>
      <c r="G17" s="2">
        <v>2100</v>
      </c>
      <c r="H17" s="2">
        <v>2100</v>
      </c>
      <c r="I17" s="59" t="s">
        <v>70</v>
      </c>
    </row>
    <row r="18" spans="1:9" x14ac:dyDescent="0.35">
      <c r="A18" s="7"/>
      <c r="B18" s="1"/>
      <c r="C18" s="1"/>
      <c r="D18" s="1"/>
      <c r="E18" s="1"/>
      <c r="F18" s="2"/>
      <c r="G18" s="2"/>
      <c r="H18" s="13"/>
      <c r="I18" s="59"/>
    </row>
    <row r="19" spans="1:9" x14ac:dyDescent="0.35">
      <c r="A19" s="22" t="s">
        <v>9</v>
      </c>
      <c r="B19" s="20"/>
      <c r="C19" s="20"/>
      <c r="D19" s="20"/>
      <c r="E19" s="20"/>
      <c r="F19" s="21"/>
      <c r="G19" s="52">
        <f>SUM(G13:G18)</f>
        <v>17600</v>
      </c>
      <c r="H19" s="13"/>
      <c r="I19" s="59"/>
    </row>
    <row r="20" spans="1:9" x14ac:dyDescent="0.35">
      <c r="A20" s="27" t="s">
        <v>11</v>
      </c>
      <c r="B20" s="15"/>
      <c r="C20" s="15"/>
      <c r="D20" s="15"/>
      <c r="E20" s="15"/>
      <c r="F20" s="16"/>
      <c r="G20" s="16"/>
      <c r="H20" s="13"/>
      <c r="I20" s="59"/>
    </row>
    <row r="21" spans="1:9" x14ac:dyDescent="0.35">
      <c r="A21" s="7" t="s">
        <v>21</v>
      </c>
      <c r="B21" s="38">
        <v>4000</v>
      </c>
      <c r="C21" s="1">
        <v>4000</v>
      </c>
      <c r="D21" s="1">
        <v>4000</v>
      </c>
      <c r="E21" s="1">
        <v>2000</v>
      </c>
      <c r="F21" s="2"/>
      <c r="G21" s="2">
        <v>14000</v>
      </c>
      <c r="H21" s="2">
        <v>14000</v>
      </c>
      <c r="I21" s="59"/>
    </row>
    <row r="22" spans="1:9" x14ac:dyDescent="0.35">
      <c r="A22" s="7" t="s">
        <v>30</v>
      </c>
      <c r="B22" s="1"/>
      <c r="C22" s="1"/>
      <c r="D22" s="1"/>
      <c r="E22" s="1"/>
      <c r="F22" s="2"/>
      <c r="G22" s="2">
        <v>10000</v>
      </c>
      <c r="H22" s="2">
        <v>10000</v>
      </c>
      <c r="I22" s="59"/>
    </row>
    <row r="23" spans="1:9" x14ac:dyDescent="0.35">
      <c r="A23" s="7" t="s">
        <v>50</v>
      </c>
      <c r="B23" s="1"/>
      <c r="C23" s="1">
        <v>110</v>
      </c>
      <c r="D23" s="1"/>
      <c r="E23" s="1"/>
      <c r="F23" s="2"/>
      <c r="G23" s="2">
        <v>110</v>
      </c>
      <c r="H23" s="2">
        <v>110</v>
      </c>
      <c r="I23" s="59" t="s">
        <v>51</v>
      </c>
    </row>
    <row r="24" spans="1:9" x14ac:dyDescent="0.35">
      <c r="A24" s="7" t="s">
        <v>78</v>
      </c>
      <c r="B24" s="1"/>
      <c r="C24" s="1">
        <v>18000</v>
      </c>
      <c r="D24" s="1">
        <v>18000</v>
      </c>
      <c r="E24" s="1">
        <v>3000</v>
      </c>
      <c r="F24" s="2"/>
      <c r="G24" s="2">
        <v>39000</v>
      </c>
      <c r="H24" s="2">
        <v>39000</v>
      </c>
      <c r="I24" s="59"/>
    </row>
    <row r="25" spans="1:9" x14ac:dyDescent="0.35">
      <c r="A25" s="7" t="s">
        <v>79</v>
      </c>
      <c r="B25" s="1"/>
      <c r="C25" s="1">
        <v>300</v>
      </c>
      <c r="D25" s="1">
        <v>1600</v>
      </c>
      <c r="E25" s="1">
        <v>1600</v>
      </c>
      <c r="F25" s="2"/>
      <c r="G25" s="2">
        <v>3500</v>
      </c>
      <c r="H25" s="2">
        <v>3500</v>
      </c>
      <c r="I25" s="59"/>
    </row>
    <row r="26" spans="1:9" x14ac:dyDescent="0.35">
      <c r="A26" s="7" t="s">
        <v>19</v>
      </c>
      <c r="B26" s="1">
        <v>500</v>
      </c>
      <c r="C26" s="1"/>
      <c r="D26" s="1"/>
      <c r="E26" s="1"/>
      <c r="F26" s="2"/>
      <c r="G26" s="2"/>
      <c r="H26" s="2"/>
      <c r="I26" s="59"/>
    </row>
    <row r="27" spans="1:9" x14ac:dyDescent="0.35">
      <c r="A27" s="7" t="s">
        <v>20</v>
      </c>
      <c r="B27" s="1"/>
      <c r="C27" s="1"/>
      <c r="D27" s="1">
        <v>7500</v>
      </c>
      <c r="E27" s="1">
        <v>7500</v>
      </c>
      <c r="F27" s="2"/>
      <c r="G27" s="2">
        <v>15000</v>
      </c>
      <c r="H27" s="2">
        <v>15000</v>
      </c>
      <c r="I27" s="59"/>
    </row>
    <row r="28" spans="1:9" x14ac:dyDescent="0.35">
      <c r="A28" s="7" t="s">
        <v>10</v>
      </c>
      <c r="B28" s="1"/>
      <c r="C28" s="1">
        <v>31333</v>
      </c>
      <c r="D28" s="1">
        <v>31333</v>
      </c>
      <c r="E28" s="1">
        <v>31333</v>
      </c>
      <c r="F28" s="2"/>
      <c r="G28" s="2">
        <v>94000</v>
      </c>
      <c r="H28" s="2">
        <v>94000</v>
      </c>
      <c r="I28" s="59"/>
    </row>
    <row r="29" spans="1:9" x14ac:dyDescent="0.35">
      <c r="A29" s="8" t="s">
        <v>39</v>
      </c>
      <c r="B29" s="38">
        <v>3800</v>
      </c>
      <c r="C29" s="1"/>
      <c r="D29" s="1"/>
      <c r="E29" s="1"/>
      <c r="F29" s="2"/>
      <c r="G29" s="2">
        <v>3800</v>
      </c>
      <c r="H29" s="2">
        <v>3800</v>
      </c>
      <c r="I29" s="59"/>
    </row>
    <row r="30" spans="1:9" x14ac:dyDescent="0.35">
      <c r="A30" s="7" t="s">
        <v>12</v>
      </c>
      <c r="B30" s="38">
        <v>53258.27</v>
      </c>
      <c r="C30" s="1"/>
      <c r="D30" s="1"/>
      <c r="E30" s="1"/>
      <c r="F30" s="2"/>
      <c r="G30" s="2">
        <v>53258.27</v>
      </c>
      <c r="H30" s="2">
        <v>53258.27</v>
      </c>
      <c r="I30" s="59"/>
    </row>
    <row r="31" spans="1:9" x14ac:dyDescent="0.35">
      <c r="A31" s="8" t="s">
        <v>40</v>
      </c>
      <c r="B31" s="39">
        <v>6138.3</v>
      </c>
      <c r="C31" s="11"/>
      <c r="D31" s="11"/>
      <c r="E31" s="11"/>
      <c r="F31" s="3"/>
      <c r="G31" s="3">
        <v>6138.3</v>
      </c>
      <c r="H31" s="3">
        <v>6138.3</v>
      </c>
      <c r="I31" s="59"/>
    </row>
    <row r="32" spans="1:9" x14ac:dyDescent="0.35">
      <c r="A32" s="37" t="s">
        <v>33</v>
      </c>
      <c r="B32" s="23">
        <v>267100</v>
      </c>
      <c r="C32" s="12"/>
      <c r="D32" s="12"/>
      <c r="E32" s="12"/>
      <c r="F32" s="12"/>
      <c r="G32" s="13">
        <v>267100</v>
      </c>
      <c r="H32" s="13">
        <v>267100</v>
      </c>
      <c r="I32" s="59" t="s">
        <v>62</v>
      </c>
    </row>
    <row r="33" spans="1:9" x14ac:dyDescent="0.35">
      <c r="A33" s="69" t="s">
        <v>52</v>
      </c>
      <c r="B33" s="70">
        <v>8500</v>
      </c>
      <c r="C33" s="42"/>
      <c r="D33" s="42"/>
      <c r="E33" s="42"/>
      <c r="F33" s="42"/>
      <c r="G33" s="71">
        <v>8500</v>
      </c>
      <c r="H33" s="71">
        <v>8500</v>
      </c>
      <c r="I33" s="59" t="s">
        <v>63</v>
      </c>
    </row>
    <row r="34" spans="1:9" x14ac:dyDescent="0.35">
      <c r="A34" s="37" t="s">
        <v>53</v>
      </c>
      <c r="B34" s="23">
        <v>1000</v>
      </c>
      <c r="C34" s="12"/>
      <c r="D34" s="12"/>
      <c r="E34" s="12"/>
      <c r="F34" s="12"/>
      <c r="G34" s="13">
        <v>1000</v>
      </c>
      <c r="H34" s="13">
        <v>1000</v>
      </c>
      <c r="I34" s="59"/>
    </row>
    <row r="35" spans="1:9" x14ac:dyDescent="0.35">
      <c r="A35" s="37" t="s">
        <v>54</v>
      </c>
      <c r="B35" s="23"/>
      <c r="C35" s="12">
        <v>15000</v>
      </c>
      <c r="D35" s="12">
        <v>15000</v>
      </c>
      <c r="E35" s="12"/>
      <c r="F35" s="12"/>
      <c r="G35" s="13">
        <v>30000</v>
      </c>
      <c r="H35" s="13">
        <v>30000</v>
      </c>
      <c r="I35" s="59"/>
    </row>
    <row r="36" spans="1:9" x14ac:dyDescent="0.35">
      <c r="A36" s="37" t="s">
        <v>80</v>
      </c>
      <c r="B36" s="23">
        <v>2000</v>
      </c>
      <c r="C36" s="12"/>
      <c r="D36" s="12"/>
      <c r="E36" s="12"/>
      <c r="F36" s="12"/>
      <c r="G36" s="13">
        <v>2000</v>
      </c>
      <c r="H36" s="13">
        <v>2000</v>
      </c>
      <c r="I36" s="59"/>
    </row>
    <row r="37" spans="1:9" x14ac:dyDescent="0.35">
      <c r="A37" s="26" t="s">
        <v>48</v>
      </c>
      <c r="B37" s="38">
        <v>239</v>
      </c>
      <c r="C37" s="25"/>
      <c r="D37" s="25"/>
      <c r="E37" s="25"/>
      <c r="F37" s="25"/>
      <c r="G37" s="44"/>
      <c r="H37" s="13">
        <v>239</v>
      </c>
      <c r="I37" s="61"/>
    </row>
    <row r="38" spans="1:9" x14ac:dyDescent="0.35">
      <c r="A38" s="19" t="s">
        <v>9</v>
      </c>
      <c r="B38" s="24"/>
      <c r="C38" s="20"/>
      <c r="D38" s="20"/>
      <c r="E38" s="20"/>
      <c r="F38" s="21"/>
      <c r="G38" s="52">
        <f>SUM(G21:G37)</f>
        <v>547406.56999999995</v>
      </c>
      <c r="H38" s="13"/>
      <c r="I38" s="59"/>
    </row>
    <row r="39" spans="1:9" x14ac:dyDescent="0.35">
      <c r="A39" s="14" t="s">
        <v>2</v>
      </c>
      <c r="B39" s="15"/>
      <c r="C39" s="15"/>
      <c r="D39" s="15"/>
      <c r="E39" s="15"/>
      <c r="F39" s="16"/>
      <c r="G39" s="16"/>
      <c r="H39" s="13"/>
      <c r="I39" s="59"/>
    </row>
    <row r="40" spans="1:9" x14ac:dyDescent="0.35">
      <c r="A40" s="7" t="s">
        <v>45</v>
      </c>
      <c r="B40" s="38">
        <v>3675</v>
      </c>
      <c r="C40" s="1"/>
      <c r="D40" s="1"/>
      <c r="E40" s="1"/>
      <c r="F40" s="2"/>
      <c r="G40" s="2">
        <v>7918.97</v>
      </c>
      <c r="H40" s="2">
        <v>7918.97</v>
      </c>
      <c r="I40" s="59"/>
    </row>
    <row r="41" spans="1:9" x14ac:dyDescent="0.35">
      <c r="A41" s="8" t="s">
        <v>37</v>
      </c>
      <c r="B41" s="38">
        <v>363.2</v>
      </c>
      <c r="C41" s="1"/>
      <c r="D41" s="1"/>
      <c r="E41" s="1"/>
      <c r="F41" s="2"/>
      <c r="G41" s="2">
        <v>363.2</v>
      </c>
      <c r="H41" s="2">
        <v>363.2</v>
      </c>
      <c r="I41" s="59"/>
    </row>
    <row r="42" spans="1:9" x14ac:dyDescent="0.35">
      <c r="A42" s="7" t="s">
        <v>38</v>
      </c>
      <c r="B42" s="38">
        <v>1200</v>
      </c>
      <c r="C42" s="1"/>
      <c r="D42" s="1"/>
      <c r="E42" s="1"/>
      <c r="F42" s="2"/>
      <c r="G42" s="2">
        <v>1200</v>
      </c>
      <c r="H42" s="2">
        <v>1200</v>
      </c>
      <c r="I42" s="59"/>
    </row>
    <row r="43" spans="1:9" x14ac:dyDescent="0.35">
      <c r="A43" s="26" t="s">
        <v>75</v>
      </c>
      <c r="B43" s="66">
        <v>1000</v>
      </c>
      <c r="C43" s="1"/>
      <c r="D43" s="1"/>
      <c r="E43" s="1"/>
      <c r="F43" s="2"/>
      <c r="G43" s="2">
        <v>1000</v>
      </c>
      <c r="H43" s="2">
        <v>1000</v>
      </c>
      <c r="I43" s="59"/>
    </row>
    <row r="44" spans="1:9" x14ac:dyDescent="0.35">
      <c r="A44" s="34" t="s">
        <v>47</v>
      </c>
      <c r="B44" s="66">
        <v>1500</v>
      </c>
      <c r="C44" s="1"/>
      <c r="D44" s="1"/>
      <c r="E44" s="1"/>
      <c r="F44" s="2"/>
      <c r="G44" s="2">
        <v>1500</v>
      </c>
      <c r="H44" s="2">
        <v>1500</v>
      </c>
      <c r="I44" s="59"/>
    </row>
    <row r="45" spans="1:9" x14ac:dyDescent="0.35">
      <c r="A45" s="34"/>
      <c r="B45" s="9"/>
      <c r="C45" s="1"/>
      <c r="D45" s="1"/>
      <c r="E45" s="1"/>
      <c r="F45" s="2"/>
      <c r="G45" s="2"/>
      <c r="H45" s="13"/>
      <c r="I45" s="59"/>
    </row>
    <row r="46" spans="1:9" x14ac:dyDescent="0.35">
      <c r="A46" s="35" t="s">
        <v>9</v>
      </c>
      <c r="B46" s="36"/>
      <c r="C46" s="20"/>
      <c r="D46" s="20"/>
      <c r="E46" s="20"/>
      <c r="F46" s="21"/>
      <c r="G46" s="52">
        <f>SUM(G40:G45)</f>
        <v>11982.17</v>
      </c>
      <c r="H46" s="13"/>
      <c r="I46" s="59"/>
    </row>
    <row r="47" spans="1:9" x14ac:dyDescent="0.35">
      <c r="A47" s="27" t="s">
        <v>13</v>
      </c>
      <c r="B47" s="15"/>
      <c r="C47" s="15"/>
      <c r="D47" s="15"/>
      <c r="E47" s="15"/>
      <c r="F47" s="16"/>
      <c r="G47" s="16"/>
      <c r="H47" s="13"/>
      <c r="I47" s="59"/>
    </row>
    <row r="48" spans="1:9" x14ac:dyDescent="0.35">
      <c r="A48" s="7" t="s">
        <v>34</v>
      </c>
      <c r="B48" s="38">
        <v>2428</v>
      </c>
      <c r="C48" s="1">
        <v>2428</v>
      </c>
      <c r="D48" s="1">
        <v>2428</v>
      </c>
      <c r="E48" s="1"/>
      <c r="F48" s="2"/>
      <c r="G48" s="2">
        <v>7284</v>
      </c>
      <c r="H48" s="2">
        <v>7284</v>
      </c>
      <c r="I48" s="59"/>
    </row>
    <row r="49" spans="1:9" x14ac:dyDescent="0.35">
      <c r="A49" s="7" t="s">
        <v>35</v>
      </c>
      <c r="B49" s="38">
        <v>883.65</v>
      </c>
      <c r="C49" s="1">
        <v>883.65</v>
      </c>
      <c r="D49" s="1">
        <v>883.65</v>
      </c>
      <c r="E49" s="1"/>
      <c r="F49" s="2"/>
      <c r="G49" s="2">
        <v>2650.95</v>
      </c>
      <c r="H49" s="2">
        <v>2650.95</v>
      </c>
      <c r="I49" s="59"/>
    </row>
    <row r="50" spans="1:9" x14ac:dyDescent="0.35">
      <c r="A50" s="7" t="s">
        <v>36</v>
      </c>
      <c r="B50" s="38">
        <v>200</v>
      </c>
      <c r="C50" s="1">
        <v>350</v>
      </c>
      <c r="D50" s="1">
        <v>350</v>
      </c>
      <c r="E50" s="1"/>
      <c r="F50" s="2"/>
      <c r="G50" s="2">
        <v>900</v>
      </c>
      <c r="H50" s="2">
        <v>900</v>
      </c>
      <c r="I50" s="59"/>
    </row>
    <row r="51" spans="1:9" x14ac:dyDescent="0.35">
      <c r="A51" s="7" t="s">
        <v>43</v>
      </c>
      <c r="B51" s="1">
        <v>11000</v>
      </c>
      <c r="C51" s="1"/>
      <c r="D51" s="1"/>
      <c r="E51" s="1"/>
      <c r="F51" s="2"/>
      <c r="G51" s="2">
        <v>11000</v>
      </c>
      <c r="H51" s="2">
        <v>11000</v>
      </c>
      <c r="I51" s="59" t="s">
        <v>55</v>
      </c>
    </row>
    <row r="52" spans="1:9" x14ac:dyDescent="0.35">
      <c r="A52" s="7" t="s">
        <v>41</v>
      </c>
      <c r="B52" s="38">
        <v>1088.47</v>
      </c>
      <c r="C52" s="1"/>
      <c r="D52" s="1"/>
      <c r="E52" s="1"/>
      <c r="F52" s="2"/>
      <c r="G52" s="2">
        <v>1088.47</v>
      </c>
      <c r="H52" s="2">
        <v>1088.47</v>
      </c>
      <c r="I52" s="59"/>
    </row>
    <row r="53" spans="1:9" x14ac:dyDescent="0.35">
      <c r="A53" s="7" t="s">
        <v>42</v>
      </c>
      <c r="B53" s="38">
        <v>1400</v>
      </c>
      <c r="C53" s="1"/>
      <c r="D53" s="1"/>
      <c r="E53" s="1"/>
      <c r="F53" s="2"/>
      <c r="G53" s="2">
        <v>1400</v>
      </c>
      <c r="H53" s="2">
        <v>1400</v>
      </c>
      <c r="I53" s="59"/>
    </row>
    <row r="54" spans="1:9" x14ac:dyDescent="0.35">
      <c r="A54" s="7" t="s">
        <v>44</v>
      </c>
      <c r="B54" s="38">
        <v>800</v>
      </c>
      <c r="C54" s="1"/>
      <c r="D54" s="1"/>
      <c r="E54" s="1"/>
      <c r="F54" s="2"/>
      <c r="G54" s="2">
        <v>800</v>
      </c>
      <c r="H54" s="2">
        <v>800</v>
      </c>
      <c r="I54" s="59"/>
    </row>
    <row r="55" spans="1:9" s="18" customFormat="1" x14ac:dyDescent="0.35">
      <c r="A55" s="17"/>
      <c r="B55" s="12"/>
      <c r="C55" s="12"/>
      <c r="D55" s="12"/>
      <c r="E55" s="12"/>
      <c r="F55" s="13"/>
      <c r="G55" s="13"/>
      <c r="H55" s="13"/>
      <c r="I55" s="59"/>
    </row>
    <row r="56" spans="1:9" x14ac:dyDescent="0.35">
      <c r="A56" s="22" t="s">
        <v>9</v>
      </c>
      <c r="B56" s="20"/>
      <c r="C56" s="20"/>
      <c r="D56" s="20"/>
      <c r="E56" s="20"/>
      <c r="F56" s="21"/>
      <c r="G56" s="52">
        <f>SUM(G48:G55)</f>
        <v>25123.420000000002</v>
      </c>
      <c r="H56" s="13"/>
      <c r="I56" s="59"/>
    </row>
    <row r="57" spans="1:9" x14ac:dyDescent="0.35">
      <c r="A57" s="27" t="s">
        <v>0</v>
      </c>
      <c r="B57" s="15"/>
      <c r="C57" s="15"/>
      <c r="D57" s="15"/>
      <c r="E57" s="15"/>
      <c r="F57" s="16"/>
      <c r="G57" s="16"/>
      <c r="H57" s="13"/>
      <c r="I57" s="59"/>
    </row>
    <row r="58" spans="1:9" x14ac:dyDescent="0.35">
      <c r="A58" s="7" t="s">
        <v>23</v>
      </c>
      <c r="B58" s="1" t="s">
        <v>25</v>
      </c>
      <c r="C58" s="1"/>
      <c r="D58" s="1"/>
      <c r="E58" s="1"/>
      <c r="F58" s="2"/>
      <c r="G58" s="2" t="s">
        <v>25</v>
      </c>
      <c r="H58" s="13"/>
      <c r="I58" s="59"/>
    </row>
    <row r="59" spans="1:9" x14ac:dyDescent="0.35">
      <c r="A59" s="8" t="s">
        <v>24</v>
      </c>
      <c r="B59" s="1"/>
      <c r="C59" s="1"/>
      <c r="D59" s="1"/>
      <c r="E59" s="1"/>
      <c r="F59" s="2"/>
      <c r="G59" s="2">
        <v>2100</v>
      </c>
      <c r="H59" s="2">
        <v>2100</v>
      </c>
      <c r="I59" s="59"/>
    </row>
    <row r="60" spans="1:9" x14ac:dyDescent="0.35">
      <c r="A60" s="41" t="s">
        <v>1</v>
      </c>
      <c r="B60" s="42"/>
      <c r="C60" s="42"/>
      <c r="D60" s="42"/>
      <c r="E60" s="42">
        <v>45150</v>
      </c>
      <c r="F60" s="43"/>
      <c r="G60" s="43">
        <v>45150</v>
      </c>
      <c r="H60" s="13"/>
      <c r="I60" s="59" t="s">
        <v>71</v>
      </c>
    </row>
    <row r="61" spans="1:9" x14ac:dyDescent="0.35">
      <c r="A61" s="8" t="s">
        <v>22</v>
      </c>
      <c r="B61" s="1"/>
      <c r="C61" s="1">
        <v>400</v>
      </c>
      <c r="D61" s="1">
        <v>400</v>
      </c>
      <c r="E61" s="1">
        <v>400</v>
      </c>
      <c r="F61" s="2"/>
      <c r="G61" s="2">
        <v>1200</v>
      </c>
      <c r="H61" s="2">
        <v>1200</v>
      </c>
      <c r="I61" s="59"/>
    </row>
    <row r="62" spans="1:9" x14ac:dyDescent="0.35">
      <c r="A62" s="8" t="s">
        <v>73</v>
      </c>
      <c r="B62" s="1"/>
      <c r="C62" s="1"/>
      <c r="D62" s="1"/>
      <c r="E62" s="1"/>
      <c r="F62" s="2"/>
      <c r="G62" s="2"/>
      <c r="H62" s="2"/>
      <c r="I62" s="59"/>
    </row>
    <row r="63" spans="1:9" x14ac:dyDescent="0.35">
      <c r="A63" s="8" t="s">
        <v>27</v>
      </c>
      <c r="B63" s="1"/>
      <c r="C63" s="1">
        <v>1500</v>
      </c>
      <c r="D63" s="1"/>
      <c r="E63" s="1"/>
      <c r="F63" s="2"/>
      <c r="G63" s="2">
        <v>1500</v>
      </c>
      <c r="H63" s="2">
        <v>1500</v>
      </c>
      <c r="I63" s="59"/>
    </row>
    <row r="64" spans="1:9" x14ac:dyDescent="0.35">
      <c r="A64" s="8" t="s">
        <v>28</v>
      </c>
      <c r="B64" s="1"/>
      <c r="C64" s="1">
        <v>500</v>
      </c>
      <c r="D64" s="1"/>
      <c r="E64" s="1"/>
      <c r="F64" s="2"/>
      <c r="G64" s="2">
        <v>500</v>
      </c>
      <c r="H64" s="2">
        <v>500</v>
      </c>
      <c r="I64" s="59"/>
    </row>
    <row r="65" spans="1:10" x14ac:dyDescent="0.35">
      <c r="A65" s="8" t="s">
        <v>29</v>
      </c>
      <c r="B65" s="1"/>
      <c r="C65" s="1">
        <v>400</v>
      </c>
      <c r="D65" s="1"/>
      <c r="E65" s="1"/>
      <c r="F65" s="2"/>
      <c r="G65" s="2">
        <v>400</v>
      </c>
      <c r="H65" s="2">
        <v>400</v>
      </c>
      <c r="I65" s="59"/>
    </row>
    <row r="66" spans="1:10" x14ac:dyDescent="0.35">
      <c r="A66" s="41" t="s">
        <v>26</v>
      </c>
      <c r="B66" s="42"/>
      <c r="C66" s="42">
        <v>5950</v>
      </c>
      <c r="D66" s="42"/>
      <c r="E66" s="42"/>
      <c r="F66" s="43"/>
      <c r="G66" s="43">
        <v>5950</v>
      </c>
      <c r="H66" s="13">
        <v>5950</v>
      </c>
      <c r="I66" s="59"/>
    </row>
    <row r="67" spans="1:10" x14ac:dyDescent="0.35">
      <c r="A67" s="8" t="s">
        <v>14</v>
      </c>
      <c r="B67" s="1"/>
      <c r="C67" s="1">
        <v>15000</v>
      </c>
      <c r="D67" s="1">
        <v>15000</v>
      </c>
      <c r="E67" s="1">
        <v>15000</v>
      </c>
      <c r="F67" s="2"/>
      <c r="G67" s="2">
        <v>45000</v>
      </c>
      <c r="H67" s="2">
        <v>45000</v>
      </c>
      <c r="I67" s="59"/>
    </row>
    <row r="68" spans="1:10" x14ac:dyDescent="0.35">
      <c r="A68" s="19" t="s">
        <v>9</v>
      </c>
      <c r="B68" s="20"/>
      <c r="C68" s="20"/>
      <c r="D68" s="20"/>
      <c r="E68" s="20"/>
      <c r="F68" s="21"/>
      <c r="G68" s="52">
        <f>SUM(G59:G67)</f>
        <v>101800</v>
      </c>
      <c r="H68" s="13"/>
      <c r="I68" s="59"/>
    </row>
    <row r="69" spans="1:10" x14ac:dyDescent="0.35">
      <c r="A69" s="14" t="s">
        <v>16</v>
      </c>
      <c r="B69" s="15"/>
      <c r="C69" s="15"/>
      <c r="D69" s="15"/>
      <c r="E69" s="15"/>
      <c r="F69" s="16"/>
      <c r="G69" s="16"/>
      <c r="H69" s="13"/>
      <c r="I69" s="59"/>
    </row>
    <row r="70" spans="1:10" x14ac:dyDescent="0.35">
      <c r="A70" s="8" t="s">
        <v>64</v>
      </c>
      <c r="B70" s="1"/>
      <c r="C70" s="68">
        <v>53570</v>
      </c>
      <c r="D70" s="1">
        <v>53570</v>
      </c>
      <c r="E70" s="1">
        <v>53570</v>
      </c>
      <c r="F70" s="2"/>
      <c r="G70" s="2">
        <v>160710</v>
      </c>
      <c r="H70" s="2">
        <v>160710</v>
      </c>
      <c r="I70" s="59"/>
      <c r="J70" s="33"/>
    </row>
    <row r="71" spans="1:10" x14ac:dyDescent="0.35">
      <c r="A71" s="8" t="s">
        <v>65</v>
      </c>
      <c r="B71" s="1">
        <v>10000</v>
      </c>
      <c r="C71" s="1">
        <v>10000</v>
      </c>
      <c r="D71" s="1">
        <v>10000</v>
      </c>
      <c r="E71" s="1">
        <v>10000</v>
      </c>
      <c r="F71" s="2"/>
      <c r="G71" s="2">
        <v>40000</v>
      </c>
      <c r="H71" s="2">
        <v>40000</v>
      </c>
      <c r="I71" s="59"/>
    </row>
    <row r="72" spans="1:10" x14ac:dyDescent="0.35">
      <c r="A72" s="8" t="s">
        <v>66</v>
      </c>
      <c r="B72" s="11">
        <v>6500</v>
      </c>
      <c r="C72" s="11">
        <v>6500</v>
      </c>
      <c r="D72" s="11">
        <v>6500</v>
      </c>
      <c r="E72" s="11">
        <v>6500</v>
      </c>
      <c r="F72" s="3"/>
      <c r="G72" s="3">
        <v>26000</v>
      </c>
      <c r="H72" s="3">
        <v>26000</v>
      </c>
      <c r="I72" s="59"/>
    </row>
    <row r="73" spans="1:10" x14ac:dyDescent="0.35">
      <c r="A73" s="8" t="s">
        <v>67</v>
      </c>
      <c r="B73" s="11">
        <v>5000</v>
      </c>
      <c r="C73" s="11">
        <v>5000</v>
      </c>
      <c r="D73" s="11">
        <v>5000</v>
      </c>
      <c r="E73" s="11">
        <v>5000</v>
      </c>
      <c r="F73" s="3"/>
      <c r="G73" s="3">
        <v>20000</v>
      </c>
      <c r="H73" s="3">
        <v>20000</v>
      </c>
      <c r="I73" s="59"/>
    </row>
    <row r="74" spans="1:10" x14ac:dyDescent="0.35">
      <c r="A74" s="8" t="s">
        <v>68</v>
      </c>
      <c r="B74" s="11">
        <v>3000</v>
      </c>
      <c r="C74" s="11">
        <v>3000</v>
      </c>
      <c r="D74" s="11">
        <v>3000</v>
      </c>
      <c r="E74" s="11">
        <v>3000</v>
      </c>
      <c r="F74" s="3"/>
      <c r="G74" s="3">
        <v>12000</v>
      </c>
      <c r="H74" s="3">
        <v>12000</v>
      </c>
      <c r="I74" s="59"/>
    </row>
    <row r="75" spans="1:10" x14ac:dyDescent="0.35">
      <c r="A75" s="8" t="s">
        <v>56</v>
      </c>
      <c r="B75" s="67">
        <v>110506.27</v>
      </c>
      <c r="C75" s="11">
        <v>17823.22</v>
      </c>
      <c r="D75" s="11"/>
      <c r="E75" s="11"/>
      <c r="F75" s="3"/>
      <c r="G75" s="3">
        <v>128329.49</v>
      </c>
      <c r="H75" s="3">
        <v>128329.49</v>
      </c>
      <c r="I75" s="59" t="s">
        <v>61</v>
      </c>
    </row>
    <row r="76" spans="1:10" x14ac:dyDescent="0.35">
      <c r="A76" s="8" t="s">
        <v>77</v>
      </c>
      <c r="B76" s="11"/>
      <c r="C76" s="67">
        <v>9000</v>
      </c>
      <c r="D76" s="11"/>
      <c r="E76" s="11"/>
      <c r="F76" s="3"/>
      <c r="G76" s="3"/>
      <c r="H76" s="3">
        <v>9000</v>
      </c>
      <c r="I76" s="59"/>
    </row>
    <row r="77" spans="1:10" x14ac:dyDescent="0.35">
      <c r="A77" s="8" t="s">
        <v>76</v>
      </c>
      <c r="B77" s="11"/>
      <c r="C77" s="67">
        <v>7000</v>
      </c>
      <c r="D77" s="11"/>
      <c r="E77" s="11"/>
      <c r="F77" s="3"/>
      <c r="G77" s="3"/>
      <c r="H77" s="3">
        <v>7000</v>
      </c>
      <c r="I77" s="59"/>
    </row>
    <row r="78" spans="1:10" x14ac:dyDescent="0.35">
      <c r="A78" s="8"/>
      <c r="B78" s="11"/>
      <c r="C78" s="11"/>
      <c r="D78" s="11"/>
      <c r="E78" s="11"/>
      <c r="F78" s="3"/>
      <c r="G78" s="3"/>
      <c r="H78" s="13"/>
      <c r="I78" s="59"/>
    </row>
    <row r="79" spans="1:10" x14ac:dyDescent="0.35">
      <c r="A79" s="8"/>
      <c r="B79" s="11"/>
      <c r="C79" s="11"/>
      <c r="D79" s="11"/>
      <c r="E79" s="11"/>
      <c r="F79" s="3"/>
      <c r="G79" s="3"/>
      <c r="H79" s="13"/>
      <c r="I79" s="59"/>
    </row>
    <row r="80" spans="1:10" x14ac:dyDescent="0.35">
      <c r="A80" s="8"/>
      <c r="B80" s="11"/>
      <c r="C80" s="11"/>
      <c r="D80" s="11"/>
      <c r="E80" s="11"/>
      <c r="F80" s="3"/>
      <c r="G80" s="3"/>
      <c r="H80" s="13"/>
      <c r="I80" s="59"/>
    </row>
    <row r="81" spans="1:10" ht="15" thickBot="1" x14ac:dyDescent="0.4">
      <c r="A81" s="19" t="s">
        <v>9</v>
      </c>
      <c r="B81" s="28"/>
      <c r="C81" s="28"/>
      <c r="D81" s="28"/>
      <c r="E81" s="28"/>
      <c r="F81" s="29"/>
      <c r="G81" s="29">
        <f>SUM(G70:G80)</f>
        <v>387039.49</v>
      </c>
      <c r="H81" s="63"/>
      <c r="I81" s="64"/>
      <c r="J81" s="33"/>
    </row>
    <row r="82" spans="1:10" ht="15" thickBot="1" x14ac:dyDescent="0.4">
      <c r="A82" s="30" t="s">
        <v>46</v>
      </c>
      <c r="B82" s="31"/>
      <c r="C82" s="31"/>
      <c r="D82" s="31"/>
      <c r="E82" s="31"/>
      <c r="F82" s="32"/>
      <c r="G82" s="32"/>
      <c r="H82" s="32">
        <f>SUM(H6:H81)</f>
        <v>3819540.6500000008</v>
      </c>
      <c r="I82" s="65"/>
      <c r="J82" t="s">
        <v>72</v>
      </c>
    </row>
    <row r="83" spans="1:10" x14ac:dyDescent="0.35">
      <c r="J83" s="33"/>
    </row>
    <row r="86" spans="1:10" x14ac:dyDescent="0.35">
      <c r="G86" s="40"/>
      <c r="H86" s="40"/>
      <c r="I86" s="62"/>
    </row>
  </sheetData>
  <printOptions horizontalCentered="1"/>
  <pageMargins left="0.23622047244094491" right="0.23622047244094491" top="0.19685039370078741" bottom="0.15748031496062992" header="0.11811023622047245" footer="0.11811023622047245"/>
  <pageSetup paperSize="9" scale="5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A1C3-5C48-4B36-AE81-700AC3BD625A}">
  <dimension ref="B1:J462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D12" sqref="D12"/>
    </sheetView>
  </sheetViews>
  <sheetFormatPr defaultRowHeight="14.5" x14ac:dyDescent="0.35"/>
  <cols>
    <col min="1" max="1" width="3.1796875" customWidth="1"/>
    <col min="2" max="2" width="11.6328125" style="74" customWidth="1"/>
    <col min="3" max="3" width="16.7265625" style="78" customWidth="1"/>
    <col min="4" max="4" width="26.26953125" style="74" customWidth="1"/>
    <col min="5" max="5" width="32.08984375" customWidth="1"/>
    <col min="6" max="6" width="20" style="74" customWidth="1"/>
    <col min="7" max="7" width="14.6328125" customWidth="1"/>
    <col min="8" max="8" width="20.36328125" customWidth="1"/>
    <col min="9" max="9" width="14" customWidth="1"/>
    <col min="10" max="10" width="35.453125" customWidth="1"/>
  </cols>
  <sheetData>
    <row r="1" spans="2:10" ht="51.5" customHeight="1" x14ac:dyDescent="0.35">
      <c r="B1" s="76" t="s">
        <v>96</v>
      </c>
      <c r="C1" s="76"/>
      <c r="D1" s="76"/>
      <c r="E1" s="76"/>
      <c r="F1" s="76"/>
      <c r="G1" s="76"/>
      <c r="H1" s="76"/>
      <c r="I1" s="76"/>
      <c r="J1" s="76"/>
    </row>
    <row r="2" spans="2:10" ht="26.5" customHeight="1" x14ac:dyDescent="0.35">
      <c r="B2" s="72" t="s">
        <v>87</v>
      </c>
      <c r="C2" s="72" t="s">
        <v>88</v>
      </c>
      <c r="D2" s="73" t="s">
        <v>81</v>
      </c>
      <c r="E2" s="73" t="s">
        <v>82</v>
      </c>
      <c r="F2" s="73" t="s">
        <v>83</v>
      </c>
      <c r="G2" s="73" t="s">
        <v>84</v>
      </c>
      <c r="H2" s="73" t="s">
        <v>86</v>
      </c>
      <c r="I2" s="73" t="s">
        <v>85</v>
      </c>
      <c r="J2" s="73" t="s">
        <v>90</v>
      </c>
    </row>
    <row r="3" spans="2:10" x14ac:dyDescent="0.35">
      <c r="B3" s="79">
        <f>IF(Tabela1[[#This Row],[Mês]]&lt;&gt;"",1,"")</f>
        <v>1</v>
      </c>
      <c r="C3" s="80" t="s">
        <v>92</v>
      </c>
      <c r="D3" s="81" t="s">
        <v>15</v>
      </c>
      <c r="E3" s="82" t="s">
        <v>17</v>
      </c>
      <c r="F3" s="85"/>
      <c r="G3" s="83"/>
      <c r="H3" s="83"/>
      <c r="I3" s="79" t="str">
        <f>IF(G3="","",IF(H3&lt;&gt;"","PAGO","A PAGAR"))</f>
        <v/>
      </c>
      <c r="J3" s="84"/>
    </row>
    <row r="4" spans="2:10" x14ac:dyDescent="0.35">
      <c r="B4" s="79">
        <f>B3+1</f>
        <v>2</v>
      </c>
      <c r="C4" s="80" t="s">
        <v>92</v>
      </c>
      <c r="D4" s="81" t="s">
        <v>15</v>
      </c>
      <c r="E4" s="82" t="s">
        <v>18</v>
      </c>
      <c r="F4" s="85">
        <v>112</v>
      </c>
      <c r="G4" s="83">
        <v>45488</v>
      </c>
      <c r="H4" s="83">
        <v>45488</v>
      </c>
      <c r="I4" s="79" t="str">
        <f t="shared" ref="I4:I67" si="0">IF(G4="","",IF(H4&lt;&gt;"","PAGO","A PAGAR"))</f>
        <v>PAGO</v>
      </c>
      <c r="J4" s="84"/>
    </row>
    <row r="5" spans="2:10" x14ac:dyDescent="0.35">
      <c r="B5" s="79">
        <f t="shared" ref="B5:B68" si="1">B4+1</f>
        <v>3</v>
      </c>
      <c r="C5" s="80" t="s">
        <v>92</v>
      </c>
      <c r="D5" s="81" t="s">
        <v>15</v>
      </c>
      <c r="E5" s="82" t="s">
        <v>19</v>
      </c>
      <c r="F5" s="85"/>
      <c r="G5" s="83">
        <v>45488</v>
      </c>
      <c r="H5" s="83"/>
      <c r="I5" s="79" t="str">
        <f t="shared" si="0"/>
        <v>A PAGAR</v>
      </c>
      <c r="J5" s="84"/>
    </row>
    <row r="6" spans="2:10" x14ac:dyDescent="0.35">
      <c r="B6" s="79">
        <f t="shared" si="1"/>
        <v>4</v>
      </c>
      <c r="C6" s="80" t="s">
        <v>92</v>
      </c>
      <c r="D6" s="81" t="s">
        <v>15</v>
      </c>
      <c r="E6" s="82" t="s">
        <v>20</v>
      </c>
      <c r="F6" s="85"/>
      <c r="G6" s="83">
        <v>45488</v>
      </c>
      <c r="H6" s="83"/>
      <c r="I6" s="79" t="str">
        <f t="shared" si="0"/>
        <v>A PAGAR</v>
      </c>
      <c r="J6" s="84"/>
    </row>
    <row r="7" spans="2:10" x14ac:dyDescent="0.35">
      <c r="B7" s="79">
        <f t="shared" si="1"/>
        <v>5</v>
      </c>
      <c r="C7" s="80" t="s">
        <v>92</v>
      </c>
      <c r="D7" s="81" t="s">
        <v>15</v>
      </c>
      <c r="E7" s="82" t="s">
        <v>49</v>
      </c>
      <c r="F7" s="85"/>
      <c r="G7" s="83">
        <v>45488</v>
      </c>
      <c r="H7" s="83"/>
      <c r="I7" s="79" t="str">
        <f t="shared" si="0"/>
        <v>A PAGAR</v>
      </c>
      <c r="J7" s="84"/>
    </row>
    <row r="8" spans="2:10" x14ac:dyDescent="0.35">
      <c r="B8" s="79">
        <f t="shared" si="1"/>
        <v>6</v>
      </c>
      <c r="C8" s="80"/>
      <c r="D8" s="81"/>
      <c r="E8" s="84"/>
      <c r="F8" s="85"/>
      <c r="G8" s="83"/>
      <c r="H8" s="83"/>
      <c r="I8" s="79" t="str">
        <f t="shared" si="0"/>
        <v/>
      </c>
      <c r="J8" s="84"/>
    </row>
    <row r="9" spans="2:10" x14ac:dyDescent="0.35">
      <c r="B9" s="79">
        <f>B8+1</f>
        <v>7</v>
      </c>
      <c r="C9" s="80" t="s">
        <v>91</v>
      </c>
      <c r="D9" s="81" t="s">
        <v>15</v>
      </c>
      <c r="E9" s="82" t="s">
        <v>17</v>
      </c>
      <c r="F9" s="85">
        <v>4000</v>
      </c>
      <c r="G9" s="83"/>
      <c r="H9" s="83"/>
      <c r="I9" s="79" t="str">
        <f t="shared" si="0"/>
        <v/>
      </c>
      <c r="J9" s="84"/>
    </row>
    <row r="10" spans="2:10" x14ac:dyDescent="0.35">
      <c r="B10" s="79">
        <f t="shared" si="1"/>
        <v>8</v>
      </c>
      <c r="C10" s="80" t="s">
        <v>91</v>
      </c>
      <c r="D10" s="81" t="s">
        <v>15</v>
      </c>
      <c r="E10" s="82" t="s">
        <v>18</v>
      </c>
      <c r="F10" s="85"/>
      <c r="G10" s="83"/>
      <c r="H10" s="83"/>
      <c r="I10" s="79" t="str">
        <f t="shared" si="0"/>
        <v/>
      </c>
      <c r="J10" s="84"/>
    </row>
    <row r="11" spans="2:10" x14ac:dyDescent="0.35">
      <c r="B11" s="79">
        <f t="shared" si="1"/>
        <v>9</v>
      </c>
      <c r="C11" s="80" t="s">
        <v>91</v>
      </c>
      <c r="D11" s="81" t="s">
        <v>15</v>
      </c>
      <c r="E11" s="82" t="s">
        <v>19</v>
      </c>
      <c r="F11" s="85"/>
      <c r="G11" s="83"/>
      <c r="H11" s="83"/>
      <c r="I11" s="79" t="str">
        <f t="shared" si="0"/>
        <v/>
      </c>
      <c r="J11" s="84"/>
    </row>
    <row r="12" spans="2:10" x14ac:dyDescent="0.35">
      <c r="B12" s="79">
        <f t="shared" si="1"/>
        <v>10</v>
      </c>
      <c r="C12" s="80" t="s">
        <v>91</v>
      </c>
      <c r="D12" s="81" t="s">
        <v>15</v>
      </c>
      <c r="E12" s="82" t="s">
        <v>20</v>
      </c>
      <c r="F12" s="85"/>
      <c r="G12" s="83"/>
      <c r="H12" s="83"/>
      <c r="I12" s="79" t="str">
        <f t="shared" si="0"/>
        <v/>
      </c>
      <c r="J12" s="84"/>
    </row>
    <row r="13" spans="2:10" x14ac:dyDescent="0.35">
      <c r="B13" s="79">
        <f t="shared" si="1"/>
        <v>11</v>
      </c>
      <c r="C13" s="80" t="s">
        <v>91</v>
      </c>
      <c r="D13" s="81" t="s">
        <v>15</v>
      </c>
      <c r="E13" s="82" t="s">
        <v>49</v>
      </c>
      <c r="F13" s="85"/>
      <c r="G13" s="83"/>
      <c r="H13" s="83"/>
      <c r="I13" s="79" t="str">
        <f t="shared" si="0"/>
        <v/>
      </c>
      <c r="J13" s="84"/>
    </row>
    <row r="14" spans="2:10" x14ac:dyDescent="0.35">
      <c r="B14" s="79">
        <f t="shared" si="1"/>
        <v>12</v>
      </c>
      <c r="C14" s="80"/>
      <c r="D14" s="81"/>
      <c r="E14" s="82"/>
      <c r="F14" s="85"/>
      <c r="G14" s="83"/>
      <c r="H14" s="83"/>
      <c r="I14" s="79" t="str">
        <f t="shared" si="0"/>
        <v/>
      </c>
      <c r="J14" s="84"/>
    </row>
    <row r="15" spans="2:10" x14ac:dyDescent="0.35">
      <c r="B15" s="79">
        <f t="shared" si="1"/>
        <v>13</v>
      </c>
      <c r="C15" s="80" t="s">
        <v>93</v>
      </c>
      <c r="D15" s="81" t="s">
        <v>15</v>
      </c>
      <c r="E15" s="82" t="s">
        <v>17</v>
      </c>
      <c r="F15" s="85">
        <v>4000</v>
      </c>
      <c r="G15" s="83"/>
      <c r="H15" s="83"/>
      <c r="I15" s="79" t="str">
        <f t="shared" si="0"/>
        <v/>
      </c>
      <c r="J15" s="84"/>
    </row>
    <row r="16" spans="2:10" x14ac:dyDescent="0.35">
      <c r="B16" s="79">
        <f t="shared" si="1"/>
        <v>14</v>
      </c>
      <c r="C16" s="80" t="s">
        <v>93</v>
      </c>
      <c r="D16" s="81" t="s">
        <v>15</v>
      </c>
      <c r="E16" s="82" t="s">
        <v>18</v>
      </c>
      <c r="F16" s="85"/>
      <c r="G16" s="83"/>
      <c r="H16" s="83"/>
      <c r="I16" s="79" t="str">
        <f t="shared" si="0"/>
        <v/>
      </c>
      <c r="J16" s="84"/>
    </row>
    <row r="17" spans="2:10" x14ac:dyDescent="0.35">
      <c r="B17" s="79">
        <f t="shared" si="1"/>
        <v>15</v>
      </c>
      <c r="C17" s="80" t="s">
        <v>93</v>
      </c>
      <c r="D17" s="81" t="s">
        <v>15</v>
      </c>
      <c r="E17" s="82" t="s">
        <v>19</v>
      </c>
      <c r="F17" s="85"/>
      <c r="G17" s="83"/>
      <c r="H17" s="83"/>
      <c r="I17" s="79" t="str">
        <f t="shared" si="0"/>
        <v/>
      </c>
      <c r="J17" s="84"/>
    </row>
    <row r="18" spans="2:10" x14ac:dyDescent="0.35">
      <c r="B18" s="79">
        <f t="shared" si="1"/>
        <v>16</v>
      </c>
      <c r="C18" s="80" t="s">
        <v>93</v>
      </c>
      <c r="D18" s="81" t="s">
        <v>15</v>
      </c>
      <c r="E18" s="82" t="s">
        <v>20</v>
      </c>
      <c r="F18" s="85"/>
      <c r="G18" s="83"/>
      <c r="H18" s="83"/>
      <c r="I18" s="79" t="str">
        <f t="shared" si="0"/>
        <v/>
      </c>
      <c r="J18" s="84"/>
    </row>
    <row r="19" spans="2:10" x14ac:dyDescent="0.35">
      <c r="B19" s="79">
        <f t="shared" si="1"/>
        <v>17</v>
      </c>
      <c r="C19" s="80" t="s">
        <v>93</v>
      </c>
      <c r="D19" s="81" t="s">
        <v>15</v>
      </c>
      <c r="E19" s="82" t="s">
        <v>49</v>
      </c>
      <c r="F19" s="85"/>
      <c r="G19" s="83"/>
      <c r="H19" s="83"/>
      <c r="I19" s="79" t="str">
        <f t="shared" si="0"/>
        <v/>
      </c>
      <c r="J19" s="84"/>
    </row>
    <row r="20" spans="2:10" x14ac:dyDescent="0.35">
      <c r="B20" s="79">
        <f t="shared" si="1"/>
        <v>18</v>
      </c>
      <c r="C20" s="80"/>
      <c r="D20" s="81"/>
      <c r="E20" s="82"/>
      <c r="F20" s="85"/>
      <c r="G20" s="83"/>
      <c r="H20" s="83"/>
      <c r="I20" s="79" t="str">
        <f t="shared" si="0"/>
        <v/>
      </c>
      <c r="J20" s="84"/>
    </row>
    <row r="21" spans="2:10" x14ac:dyDescent="0.35">
      <c r="B21" s="79">
        <f t="shared" si="1"/>
        <v>19</v>
      </c>
      <c r="C21" s="80" t="s">
        <v>95</v>
      </c>
      <c r="D21" s="81" t="s">
        <v>15</v>
      </c>
      <c r="E21" s="82" t="s">
        <v>17</v>
      </c>
      <c r="F21" s="85">
        <v>4000</v>
      </c>
      <c r="G21" s="83"/>
      <c r="H21" s="83"/>
      <c r="I21" s="79" t="str">
        <f t="shared" si="0"/>
        <v/>
      </c>
      <c r="J21" s="84"/>
    </row>
    <row r="22" spans="2:10" x14ac:dyDescent="0.35">
      <c r="B22" s="79">
        <f t="shared" si="1"/>
        <v>20</v>
      </c>
      <c r="C22" s="80" t="s">
        <v>95</v>
      </c>
      <c r="D22" s="81" t="s">
        <v>15</v>
      </c>
      <c r="E22" s="82" t="s">
        <v>18</v>
      </c>
      <c r="F22" s="85"/>
      <c r="G22" s="83"/>
      <c r="H22" s="83"/>
      <c r="I22" s="79" t="str">
        <f t="shared" si="0"/>
        <v/>
      </c>
      <c r="J22" s="84"/>
    </row>
    <row r="23" spans="2:10" x14ac:dyDescent="0.35">
      <c r="B23" s="79">
        <f t="shared" si="1"/>
        <v>21</v>
      </c>
      <c r="C23" s="80" t="s">
        <v>95</v>
      </c>
      <c r="D23" s="81" t="s">
        <v>15</v>
      </c>
      <c r="E23" s="82" t="s">
        <v>19</v>
      </c>
      <c r="F23" s="85"/>
      <c r="G23" s="83"/>
      <c r="H23" s="83"/>
      <c r="I23" s="79" t="str">
        <f t="shared" si="0"/>
        <v/>
      </c>
      <c r="J23" s="84"/>
    </row>
    <row r="24" spans="2:10" x14ac:dyDescent="0.35">
      <c r="B24" s="79">
        <f t="shared" si="1"/>
        <v>22</v>
      </c>
      <c r="C24" s="80" t="s">
        <v>95</v>
      </c>
      <c r="D24" s="81" t="s">
        <v>15</v>
      </c>
      <c r="E24" s="82" t="s">
        <v>20</v>
      </c>
      <c r="F24" s="85"/>
      <c r="G24" s="83"/>
      <c r="H24" s="83"/>
      <c r="I24" s="79" t="str">
        <f t="shared" si="0"/>
        <v/>
      </c>
      <c r="J24" s="84"/>
    </row>
    <row r="25" spans="2:10" x14ac:dyDescent="0.35">
      <c r="B25" s="79">
        <f t="shared" si="1"/>
        <v>23</v>
      </c>
      <c r="C25" s="80" t="s">
        <v>95</v>
      </c>
      <c r="D25" s="81" t="s">
        <v>15</v>
      </c>
      <c r="E25" s="82" t="s">
        <v>49</v>
      </c>
      <c r="F25" s="85"/>
      <c r="G25" s="83"/>
      <c r="H25" s="83"/>
      <c r="I25" s="79" t="str">
        <f t="shared" si="0"/>
        <v/>
      </c>
      <c r="J25" s="84"/>
    </row>
    <row r="26" spans="2:10" x14ac:dyDescent="0.35">
      <c r="B26" s="79">
        <f t="shared" si="1"/>
        <v>24</v>
      </c>
      <c r="C26" s="80"/>
      <c r="D26" s="81"/>
      <c r="E26" s="82"/>
      <c r="F26" s="85"/>
      <c r="G26" s="83"/>
      <c r="H26" s="83"/>
      <c r="I26" s="79" t="str">
        <f t="shared" si="0"/>
        <v/>
      </c>
      <c r="J26" s="84"/>
    </row>
    <row r="27" spans="2:10" x14ac:dyDescent="0.35">
      <c r="B27" s="79">
        <f t="shared" si="1"/>
        <v>25</v>
      </c>
      <c r="C27" s="80" t="s">
        <v>94</v>
      </c>
      <c r="D27" s="81" t="s">
        <v>89</v>
      </c>
      <c r="E27" s="84" t="s">
        <v>21</v>
      </c>
      <c r="F27" s="85"/>
      <c r="G27" s="83"/>
      <c r="H27" s="83"/>
      <c r="I27" s="79" t="str">
        <f t="shared" si="0"/>
        <v/>
      </c>
      <c r="J27" s="84"/>
    </row>
    <row r="28" spans="2:10" x14ac:dyDescent="0.35">
      <c r="B28" s="79">
        <f t="shared" si="1"/>
        <v>26</v>
      </c>
      <c r="C28" s="80" t="s">
        <v>94</v>
      </c>
      <c r="D28" s="81" t="s">
        <v>89</v>
      </c>
      <c r="E28" s="84" t="s">
        <v>30</v>
      </c>
      <c r="F28" s="85"/>
      <c r="G28" s="83"/>
      <c r="H28" s="83"/>
      <c r="I28" s="79" t="str">
        <f t="shared" si="0"/>
        <v/>
      </c>
      <c r="J28" s="84"/>
    </row>
    <row r="29" spans="2:10" x14ac:dyDescent="0.35">
      <c r="B29" s="79">
        <f t="shared" si="1"/>
        <v>27</v>
      </c>
      <c r="C29" s="80" t="s">
        <v>94</v>
      </c>
      <c r="D29" s="81" t="s">
        <v>89</v>
      </c>
      <c r="E29" s="84" t="s">
        <v>50</v>
      </c>
      <c r="F29" s="85"/>
      <c r="G29" s="83"/>
      <c r="H29" s="83"/>
      <c r="I29" s="79" t="str">
        <f t="shared" si="0"/>
        <v/>
      </c>
      <c r="J29" s="84"/>
    </row>
    <row r="30" spans="2:10" x14ac:dyDescent="0.35">
      <c r="B30" s="79">
        <f t="shared" si="1"/>
        <v>28</v>
      </c>
      <c r="C30" s="80" t="s">
        <v>94</v>
      </c>
      <c r="D30" s="81" t="s">
        <v>89</v>
      </c>
      <c r="E30" s="84" t="s">
        <v>78</v>
      </c>
      <c r="F30" s="85"/>
      <c r="G30" s="83"/>
      <c r="H30" s="83"/>
      <c r="I30" s="79" t="str">
        <f t="shared" si="0"/>
        <v/>
      </c>
      <c r="J30" s="84"/>
    </row>
    <row r="31" spans="2:10" x14ac:dyDescent="0.35">
      <c r="B31" s="79">
        <f t="shared" si="1"/>
        <v>29</v>
      </c>
      <c r="C31" s="80" t="s">
        <v>94</v>
      </c>
      <c r="D31" s="81" t="s">
        <v>89</v>
      </c>
      <c r="E31" s="84" t="s">
        <v>79</v>
      </c>
      <c r="F31" s="85"/>
      <c r="G31" s="83"/>
      <c r="H31" s="83"/>
      <c r="I31" s="79" t="str">
        <f t="shared" si="0"/>
        <v/>
      </c>
      <c r="J31" s="84"/>
    </row>
    <row r="32" spans="2:10" x14ac:dyDescent="0.35">
      <c r="B32" s="79">
        <f t="shared" si="1"/>
        <v>30</v>
      </c>
      <c r="C32" s="80" t="s">
        <v>94</v>
      </c>
      <c r="D32" s="81" t="s">
        <v>89</v>
      </c>
      <c r="E32" s="84" t="s">
        <v>19</v>
      </c>
      <c r="F32" s="85"/>
      <c r="G32" s="83"/>
      <c r="H32" s="83"/>
      <c r="I32" s="79" t="str">
        <f t="shared" si="0"/>
        <v/>
      </c>
      <c r="J32" s="84"/>
    </row>
    <row r="33" spans="2:10" x14ac:dyDescent="0.35">
      <c r="B33" s="79">
        <f t="shared" si="1"/>
        <v>31</v>
      </c>
      <c r="C33" s="80" t="s">
        <v>94</v>
      </c>
      <c r="D33" s="81" t="s">
        <v>89</v>
      </c>
      <c r="E33" s="84" t="s">
        <v>20</v>
      </c>
      <c r="F33" s="85"/>
      <c r="G33" s="83"/>
      <c r="H33" s="83"/>
      <c r="I33" s="79" t="str">
        <f t="shared" si="0"/>
        <v/>
      </c>
      <c r="J33" s="84"/>
    </row>
    <row r="34" spans="2:10" x14ac:dyDescent="0.35">
      <c r="B34" s="79">
        <f t="shared" si="1"/>
        <v>32</v>
      </c>
      <c r="C34" s="80" t="s">
        <v>94</v>
      </c>
      <c r="D34" s="81" t="s">
        <v>89</v>
      </c>
      <c r="E34" s="84" t="s">
        <v>10</v>
      </c>
      <c r="F34" s="85"/>
      <c r="G34" s="83"/>
      <c r="H34" s="83"/>
      <c r="I34" s="79" t="str">
        <f t="shared" si="0"/>
        <v/>
      </c>
      <c r="J34" s="84"/>
    </row>
    <row r="35" spans="2:10" x14ac:dyDescent="0.35">
      <c r="B35" s="79">
        <f t="shared" si="1"/>
        <v>33</v>
      </c>
      <c r="C35" s="80" t="s">
        <v>94</v>
      </c>
      <c r="D35" s="81" t="s">
        <v>89</v>
      </c>
      <c r="E35" s="84" t="s">
        <v>39</v>
      </c>
      <c r="F35" s="85"/>
      <c r="G35" s="83"/>
      <c r="H35" s="83"/>
      <c r="I35" s="79" t="str">
        <f t="shared" si="0"/>
        <v/>
      </c>
      <c r="J35" s="84"/>
    </row>
    <row r="36" spans="2:10" x14ac:dyDescent="0.35">
      <c r="B36" s="79">
        <f t="shared" si="1"/>
        <v>34</v>
      </c>
      <c r="C36" s="80" t="s">
        <v>94</v>
      </c>
      <c r="D36" s="81" t="s">
        <v>89</v>
      </c>
      <c r="E36" s="84" t="s">
        <v>12</v>
      </c>
      <c r="F36" s="85"/>
      <c r="G36" s="83"/>
      <c r="H36" s="83"/>
      <c r="I36" s="79" t="str">
        <f t="shared" si="0"/>
        <v/>
      </c>
      <c r="J36" s="84"/>
    </row>
    <row r="37" spans="2:10" x14ac:dyDescent="0.35">
      <c r="B37" s="79">
        <f t="shared" si="1"/>
        <v>35</v>
      </c>
      <c r="C37" s="80" t="s">
        <v>94</v>
      </c>
      <c r="D37" s="81" t="s">
        <v>89</v>
      </c>
      <c r="E37" s="84" t="s">
        <v>40</v>
      </c>
      <c r="F37" s="85"/>
      <c r="G37" s="83"/>
      <c r="H37" s="83"/>
      <c r="I37" s="79" t="str">
        <f t="shared" si="0"/>
        <v/>
      </c>
      <c r="J37" s="84"/>
    </row>
    <row r="38" spans="2:10" x14ac:dyDescent="0.35">
      <c r="B38" s="79">
        <f t="shared" si="1"/>
        <v>36</v>
      </c>
      <c r="C38" s="80" t="s">
        <v>94</v>
      </c>
      <c r="D38" s="81" t="s">
        <v>89</v>
      </c>
      <c r="E38" s="84" t="s">
        <v>33</v>
      </c>
      <c r="F38" s="85"/>
      <c r="G38" s="83"/>
      <c r="H38" s="83"/>
      <c r="I38" s="79" t="str">
        <f t="shared" si="0"/>
        <v/>
      </c>
      <c r="J38" s="84"/>
    </row>
    <row r="39" spans="2:10" x14ac:dyDescent="0.35">
      <c r="B39" s="79">
        <f t="shared" si="1"/>
        <v>37</v>
      </c>
      <c r="C39" s="80" t="s">
        <v>94</v>
      </c>
      <c r="D39" s="81" t="s">
        <v>89</v>
      </c>
      <c r="E39" s="84" t="s">
        <v>52</v>
      </c>
      <c r="F39" s="85"/>
      <c r="G39" s="83"/>
      <c r="H39" s="83"/>
      <c r="I39" s="79" t="str">
        <f t="shared" si="0"/>
        <v/>
      </c>
      <c r="J39" s="84"/>
    </row>
    <row r="40" spans="2:10" x14ac:dyDescent="0.35">
      <c r="B40" s="79">
        <f t="shared" si="1"/>
        <v>38</v>
      </c>
      <c r="C40" s="80" t="s">
        <v>94</v>
      </c>
      <c r="D40" s="81" t="s">
        <v>89</v>
      </c>
      <c r="E40" s="84" t="s">
        <v>53</v>
      </c>
      <c r="F40" s="85"/>
      <c r="G40" s="83"/>
      <c r="H40" s="83"/>
      <c r="I40" s="79" t="str">
        <f t="shared" si="0"/>
        <v/>
      </c>
      <c r="J40" s="84"/>
    </row>
    <row r="41" spans="2:10" x14ac:dyDescent="0.35">
      <c r="B41" s="79">
        <f t="shared" si="1"/>
        <v>39</v>
      </c>
      <c r="C41" s="80" t="s">
        <v>94</v>
      </c>
      <c r="D41" s="81" t="s">
        <v>89</v>
      </c>
      <c r="E41" s="84" t="s">
        <v>54</v>
      </c>
      <c r="F41" s="85"/>
      <c r="G41" s="83"/>
      <c r="H41" s="83"/>
      <c r="I41" s="79" t="str">
        <f t="shared" si="0"/>
        <v/>
      </c>
      <c r="J41" s="84"/>
    </row>
    <row r="42" spans="2:10" x14ac:dyDescent="0.35">
      <c r="B42" s="79">
        <f t="shared" si="1"/>
        <v>40</v>
      </c>
      <c r="C42" s="80" t="s">
        <v>94</v>
      </c>
      <c r="D42" s="81" t="s">
        <v>89</v>
      </c>
      <c r="E42" s="84" t="s">
        <v>80</v>
      </c>
      <c r="F42" s="85"/>
      <c r="G42" s="83"/>
      <c r="H42" s="83"/>
      <c r="I42" s="79" t="str">
        <f t="shared" si="0"/>
        <v/>
      </c>
      <c r="J42" s="84"/>
    </row>
    <row r="43" spans="2:10" x14ac:dyDescent="0.35">
      <c r="B43" s="79">
        <f t="shared" si="1"/>
        <v>41</v>
      </c>
      <c r="C43" s="80" t="s">
        <v>94</v>
      </c>
      <c r="D43" s="81" t="s">
        <v>89</v>
      </c>
      <c r="E43" s="84" t="s">
        <v>48</v>
      </c>
      <c r="F43" s="85"/>
      <c r="G43" s="83"/>
      <c r="H43" s="83"/>
      <c r="I43" s="79" t="str">
        <f t="shared" si="0"/>
        <v/>
      </c>
      <c r="J43" s="84"/>
    </row>
    <row r="44" spans="2:10" x14ac:dyDescent="0.35">
      <c r="B44" s="79">
        <f t="shared" si="1"/>
        <v>42</v>
      </c>
      <c r="C44" s="80"/>
      <c r="D44" s="81"/>
      <c r="E44" s="84"/>
      <c r="F44" s="85"/>
      <c r="G44" s="83"/>
      <c r="H44" s="83"/>
      <c r="I44" s="79" t="str">
        <f t="shared" si="0"/>
        <v/>
      </c>
      <c r="J44" s="84"/>
    </row>
    <row r="45" spans="2:10" x14ac:dyDescent="0.35">
      <c r="B45" s="79">
        <f t="shared" si="1"/>
        <v>43</v>
      </c>
      <c r="C45" s="80" t="s">
        <v>91</v>
      </c>
      <c r="D45" s="81" t="s">
        <v>89</v>
      </c>
      <c r="E45" s="84" t="s">
        <v>21</v>
      </c>
      <c r="F45" s="85"/>
      <c r="G45" s="83"/>
      <c r="H45" s="83"/>
      <c r="I45" s="79" t="str">
        <f t="shared" si="0"/>
        <v/>
      </c>
      <c r="J45" s="84"/>
    </row>
    <row r="46" spans="2:10" x14ac:dyDescent="0.35">
      <c r="B46" s="79">
        <f t="shared" si="1"/>
        <v>44</v>
      </c>
      <c r="C46" s="80" t="s">
        <v>91</v>
      </c>
      <c r="D46" s="81" t="s">
        <v>89</v>
      </c>
      <c r="E46" s="84" t="s">
        <v>30</v>
      </c>
      <c r="F46" s="85"/>
      <c r="G46" s="83"/>
      <c r="H46" s="83"/>
      <c r="I46" s="79" t="str">
        <f t="shared" si="0"/>
        <v/>
      </c>
      <c r="J46" s="84"/>
    </row>
    <row r="47" spans="2:10" x14ac:dyDescent="0.35">
      <c r="B47" s="79">
        <f t="shared" si="1"/>
        <v>45</v>
      </c>
      <c r="C47" s="80" t="s">
        <v>91</v>
      </c>
      <c r="D47" s="81" t="s">
        <v>89</v>
      </c>
      <c r="E47" s="84" t="s">
        <v>50</v>
      </c>
      <c r="F47" s="85"/>
      <c r="G47" s="83"/>
      <c r="H47" s="83"/>
      <c r="I47" s="79" t="str">
        <f t="shared" si="0"/>
        <v/>
      </c>
      <c r="J47" s="84"/>
    </row>
    <row r="48" spans="2:10" x14ac:dyDescent="0.35">
      <c r="B48" s="79">
        <f t="shared" si="1"/>
        <v>46</v>
      </c>
      <c r="C48" s="80" t="s">
        <v>91</v>
      </c>
      <c r="D48" s="81" t="s">
        <v>89</v>
      </c>
      <c r="E48" s="84" t="s">
        <v>78</v>
      </c>
      <c r="F48" s="85"/>
      <c r="G48" s="83"/>
      <c r="H48" s="83"/>
      <c r="I48" s="79" t="str">
        <f t="shared" si="0"/>
        <v/>
      </c>
      <c r="J48" s="84"/>
    </row>
    <row r="49" spans="2:10" x14ac:dyDescent="0.35">
      <c r="B49" s="79">
        <f t="shared" si="1"/>
        <v>47</v>
      </c>
      <c r="C49" s="80" t="s">
        <v>91</v>
      </c>
      <c r="D49" s="81" t="s">
        <v>89</v>
      </c>
      <c r="E49" s="84" t="s">
        <v>79</v>
      </c>
      <c r="F49" s="85"/>
      <c r="G49" s="83"/>
      <c r="H49" s="83"/>
      <c r="I49" s="79" t="str">
        <f t="shared" si="0"/>
        <v/>
      </c>
      <c r="J49" s="84"/>
    </row>
    <row r="50" spans="2:10" x14ac:dyDescent="0.35">
      <c r="B50" s="79">
        <f t="shared" si="1"/>
        <v>48</v>
      </c>
      <c r="C50" s="80" t="s">
        <v>91</v>
      </c>
      <c r="D50" s="81" t="s">
        <v>89</v>
      </c>
      <c r="E50" s="84" t="s">
        <v>19</v>
      </c>
      <c r="F50" s="85"/>
      <c r="G50" s="83"/>
      <c r="H50" s="83"/>
      <c r="I50" s="79" t="str">
        <f t="shared" si="0"/>
        <v/>
      </c>
      <c r="J50" s="84"/>
    </row>
    <row r="51" spans="2:10" x14ac:dyDescent="0.35">
      <c r="B51" s="79">
        <f t="shared" si="1"/>
        <v>49</v>
      </c>
      <c r="C51" s="80" t="s">
        <v>91</v>
      </c>
      <c r="D51" s="81" t="s">
        <v>89</v>
      </c>
      <c r="E51" s="84" t="s">
        <v>20</v>
      </c>
      <c r="F51" s="85"/>
      <c r="G51" s="83"/>
      <c r="H51" s="83"/>
      <c r="I51" s="79" t="str">
        <f t="shared" si="0"/>
        <v/>
      </c>
      <c r="J51" s="84"/>
    </row>
    <row r="52" spans="2:10" x14ac:dyDescent="0.35">
      <c r="B52" s="79">
        <f t="shared" si="1"/>
        <v>50</v>
      </c>
      <c r="C52" s="80" t="s">
        <v>91</v>
      </c>
      <c r="D52" s="81" t="s">
        <v>89</v>
      </c>
      <c r="E52" s="84" t="s">
        <v>10</v>
      </c>
      <c r="F52" s="85"/>
      <c r="G52" s="83"/>
      <c r="H52" s="83"/>
      <c r="I52" s="79" t="str">
        <f t="shared" si="0"/>
        <v/>
      </c>
      <c r="J52" s="84"/>
    </row>
    <row r="53" spans="2:10" x14ac:dyDescent="0.35">
      <c r="B53" s="79">
        <f t="shared" si="1"/>
        <v>51</v>
      </c>
      <c r="C53" s="80" t="s">
        <v>91</v>
      </c>
      <c r="D53" s="81" t="s">
        <v>89</v>
      </c>
      <c r="E53" s="84" t="s">
        <v>39</v>
      </c>
      <c r="F53" s="85"/>
      <c r="G53" s="83"/>
      <c r="H53" s="83"/>
      <c r="I53" s="79" t="str">
        <f t="shared" si="0"/>
        <v/>
      </c>
      <c r="J53" s="84"/>
    </row>
    <row r="54" spans="2:10" x14ac:dyDescent="0.35">
      <c r="B54" s="79">
        <f t="shared" si="1"/>
        <v>52</v>
      </c>
      <c r="C54" s="80" t="s">
        <v>91</v>
      </c>
      <c r="D54" s="81" t="s">
        <v>89</v>
      </c>
      <c r="E54" s="84" t="s">
        <v>12</v>
      </c>
      <c r="F54" s="85"/>
      <c r="G54" s="83"/>
      <c r="H54" s="83"/>
      <c r="I54" s="79" t="str">
        <f t="shared" si="0"/>
        <v/>
      </c>
      <c r="J54" s="84"/>
    </row>
    <row r="55" spans="2:10" x14ac:dyDescent="0.35">
      <c r="B55" s="79">
        <f t="shared" si="1"/>
        <v>53</v>
      </c>
      <c r="C55" s="80" t="s">
        <v>91</v>
      </c>
      <c r="D55" s="81" t="s">
        <v>89</v>
      </c>
      <c r="E55" s="84" t="s">
        <v>40</v>
      </c>
      <c r="F55" s="85"/>
      <c r="G55" s="83"/>
      <c r="H55" s="83"/>
      <c r="I55" s="79" t="str">
        <f t="shared" si="0"/>
        <v/>
      </c>
      <c r="J55" s="84"/>
    </row>
    <row r="56" spans="2:10" x14ac:dyDescent="0.35">
      <c r="B56" s="79">
        <f t="shared" si="1"/>
        <v>54</v>
      </c>
      <c r="C56" s="80" t="s">
        <v>91</v>
      </c>
      <c r="D56" s="81" t="s">
        <v>89</v>
      </c>
      <c r="E56" s="84" t="s">
        <v>33</v>
      </c>
      <c r="F56" s="85"/>
      <c r="G56" s="83"/>
      <c r="H56" s="83"/>
      <c r="I56" s="79" t="str">
        <f t="shared" si="0"/>
        <v/>
      </c>
      <c r="J56" s="84"/>
    </row>
    <row r="57" spans="2:10" x14ac:dyDescent="0.35">
      <c r="B57" s="79">
        <f t="shared" si="1"/>
        <v>55</v>
      </c>
      <c r="C57" s="80" t="s">
        <v>91</v>
      </c>
      <c r="D57" s="81" t="s">
        <v>89</v>
      </c>
      <c r="E57" s="84" t="s">
        <v>52</v>
      </c>
      <c r="F57" s="85"/>
      <c r="G57" s="83"/>
      <c r="H57" s="83"/>
      <c r="I57" s="79" t="str">
        <f t="shared" si="0"/>
        <v/>
      </c>
      <c r="J57" s="84"/>
    </row>
    <row r="58" spans="2:10" x14ac:dyDescent="0.35">
      <c r="B58" s="79">
        <f t="shared" si="1"/>
        <v>56</v>
      </c>
      <c r="C58" s="80" t="s">
        <v>91</v>
      </c>
      <c r="D58" s="81" t="s">
        <v>89</v>
      </c>
      <c r="E58" s="84" t="s">
        <v>53</v>
      </c>
      <c r="F58" s="85"/>
      <c r="G58" s="83"/>
      <c r="H58" s="83"/>
      <c r="I58" s="79" t="str">
        <f t="shared" si="0"/>
        <v/>
      </c>
      <c r="J58" s="84"/>
    </row>
    <row r="59" spans="2:10" x14ac:dyDescent="0.35">
      <c r="B59" s="79">
        <f t="shared" si="1"/>
        <v>57</v>
      </c>
      <c r="C59" s="80" t="s">
        <v>91</v>
      </c>
      <c r="D59" s="81" t="s">
        <v>89</v>
      </c>
      <c r="E59" s="84" t="s">
        <v>54</v>
      </c>
      <c r="F59" s="85"/>
      <c r="G59" s="83"/>
      <c r="H59" s="83"/>
      <c r="I59" s="79" t="str">
        <f t="shared" si="0"/>
        <v/>
      </c>
      <c r="J59" s="84"/>
    </row>
    <row r="60" spans="2:10" x14ac:dyDescent="0.35">
      <c r="B60" s="79">
        <f t="shared" si="1"/>
        <v>58</v>
      </c>
      <c r="C60" s="80" t="s">
        <v>91</v>
      </c>
      <c r="D60" s="81" t="s">
        <v>89</v>
      </c>
      <c r="E60" s="84" t="s">
        <v>80</v>
      </c>
      <c r="F60" s="85"/>
      <c r="G60" s="83"/>
      <c r="H60" s="83"/>
      <c r="I60" s="79" t="str">
        <f t="shared" si="0"/>
        <v/>
      </c>
      <c r="J60" s="84"/>
    </row>
    <row r="61" spans="2:10" x14ac:dyDescent="0.35">
      <c r="B61" s="79">
        <f t="shared" si="1"/>
        <v>59</v>
      </c>
      <c r="C61" s="80" t="s">
        <v>91</v>
      </c>
      <c r="D61" s="81" t="s">
        <v>89</v>
      </c>
      <c r="E61" s="84" t="s">
        <v>48</v>
      </c>
      <c r="F61" s="85"/>
      <c r="G61" s="83"/>
      <c r="H61" s="83"/>
      <c r="I61" s="79" t="str">
        <f t="shared" si="0"/>
        <v/>
      </c>
      <c r="J61" s="84"/>
    </row>
    <row r="62" spans="2:10" x14ac:dyDescent="0.35">
      <c r="B62" s="79">
        <f t="shared" si="1"/>
        <v>60</v>
      </c>
      <c r="C62" s="80"/>
      <c r="D62" s="81"/>
      <c r="E62" s="84"/>
      <c r="F62" s="85"/>
      <c r="G62" s="83"/>
      <c r="H62" s="83"/>
      <c r="I62" s="79" t="str">
        <f t="shared" si="0"/>
        <v/>
      </c>
      <c r="J62" s="84"/>
    </row>
    <row r="63" spans="2:10" x14ac:dyDescent="0.35">
      <c r="B63" s="79">
        <f t="shared" si="1"/>
        <v>61</v>
      </c>
      <c r="C63" s="80" t="s">
        <v>93</v>
      </c>
      <c r="D63" s="81" t="s">
        <v>89</v>
      </c>
      <c r="E63" s="84" t="s">
        <v>21</v>
      </c>
      <c r="F63" s="85"/>
      <c r="G63" s="83"/>
      <c r="H63" s="83"/>
      <c r="I63" s="79" t="str">
        <f t="shared" si="0"/>
        <v/>
      </c>
      <c r="J63" s="84"/>
    </row>
    <row r="64" spans="2:10" x14ac:dyDescent="0.35">
      <c r="B64" s="79">
        <f t="shared" si="1"/>
        <v>62</v>
      </c>
      <c r="C64" s="80" t="s">
        <v>93</v>
      </c>
      <c r="D64" s="81" t="s">
        <v>89</v>
      </c>
      <c r="E64" s="84" t="s">
        <v>30</v>
      </c>
      <c r="F64" s="85"/>
      <c r="G64" s="83"/>
      <c r="H64" s="83"/>
      <c r="I64" s="79" t="str">
        <f t="shared" si="0"/>
        <v/>
      </c>
      <c r="J64" s="84"/>
    </row>
    <row r="65" spans="2:10" x14ac:dyDescent="0.35">
      <c r="B65" s="79">
        <f t="shared" si="1"/>
        <v>63</v>
      </c>
      <c r="C65" s="80" t="s">
        <v>93</v>
      </c>
      <c r="D65" s="81" t="s">
        <v>89</v>
      </c>
      <c r="E65" s="84" t="s">
        <v>50</v>
      </c>
      <c r="F65" s="85"/>
      <c r="G65" s="83"/>
      <c r="H65" s="83"/>
      <c r="I65" s="79" t="str">
        <f t="shared" si="0"/>
        <v/>
      </c>
      <c r="J65" s="84"/>
    </row>
    <row r="66" spans="2:10" x14ac:dyDescent="0.35">
      <c r="B66" s="79">
        <f t="shared" si="1"/>
        <v>64</v>
      </c>
      <c r="C66" s="80" t="s">
        <v>93</v>
      </c>
      <c r="D66" s="81" t="s">
        <v>89</v>
      </c>
      <c r="E66" s="84" t="s">
        <v>78</v>
      </c>
      <c r="F66" s="85"/>
      <c r="G66" s="83"/>
      <c r="H66" s="83"/>
      <c r="I66" s="79" t="str">
        <f t="shared" si="0"/>
        <v/>
      </c>
      <c r="J66" s="84"/>
    </row>
    <row r="67" spans="2:10" x14ac:dyDescent="0.35">
      <c r="B67" s="79">
        <f t="shared" si="1"/>
        <v>65</v>
      </c>
      <c r="C67" s="80" t="s">
        <v>93</v>
      </c>
      <c r="D67" s="81" t="s">
        <v>89</v>
      </c>
      <c r="E67" s="84" t="s">
        <v>79</v>
      </c>
      <c r="F67" s="85"/>
      <c r="G67" s="83"/>
      <c r="H67" s="83"/>
      <c r="I67" s="79" t="str">
        <f t="shared" si="0"/>
        <v/>
      </c>
      <c r="J67" s="84"/>
    </row>
    <row r="68" spans="2:10" x14ac:dyDescent="0.35">
      <c r="B68" s="79">
        <f t="shared" si="1"/>
        <v>66</v>
      </c>
      <c r="C68" s="80" t="s">
        <v>93</v>
      </c>
      <c r="D68" s="81" t="s">
        <v>89</v>
      </c>
      <c r="E68" s="84" t="s">
        <v>19</v>
      </c>
      <c r="F68" s="85"/>
      <c r="G68" s="83"/>
      <c r="H68" s="83"/>
      <c r="I68" s="79" t="str">
        <f t="shared" ref="I68:I131" si="2">IF(G68="","",IF(H68&lt;&gt;"","PAGO","A PAGAR"))</f>
        <v/>
      </c>
      <c r="J68" s="84"/>
    </row>
    <row r="69" spans="2:10" x14ac:dyDescent="0.35">
      <c r="B69" s="79">
        <f t="shared" ref="B69:B132" si="3">B68+1</f>
        <v>67</v>
      </c>
      <c r="C69" s="80" t="s">
        <v>93</v>
      </c>
      <c r="D69" s="81" t="s">
        <v>89</v>
      </c>
      <c r="E69" s="84" t="s">
        <v>20</v>
      </c>
      <c r="F69" s="85"/>
      <c r="G69" s="83"/>
      <c r="H69" s="83"/>
      <c r="I69" s="79" t="str">
        <f t="shared" si="2"/>
        <v/>
      </c>
      <c r="J69" s="84"/>
    </row>
    <row r="70" spans="2:10" x14ac:dyDescent="0.35">
      <c r="B70" s="79">
        <f t="shared" si="3"/>
        <v>68</v>
      </c>
      <c r="C70" s="80" t="s">
        <v>93</v>
      </c>
      <c r="D70" s="81" t="s">
        <v>89</v>
      </c>
      <c r="E70" s="84" t="s">
        <v>10</v>
      </c>
      <c r="F70" s="85"/>
      <c r="G70" s="83"/>
      <c r="H70" s="83"/>
      <c r="I70" s="79" t="str">
        <f t="shared" si="2"/>
        <v/>
      </c>
      <c r="J70" s="84"/>
    </row>
    <row r="71" spans="2:10" x14ac:dyDescent="0.35">
      <c r="B71" s="79">
        <f t="shared" si="3"/>
        <v>69</v>
      </c>
      <c r="C71" s="80" t="s">
        <v>93</v>
      </c>
      <c r="D71" s="81" t="s">
        <v>89</v>
      </c>
      <c r="E71" s="84" t="s">
        <v>39</v>
      </c>
      <c r="F71" s="85"/>
      <c r="G71" s="83"/>
      <c r="H71" s="83"/>
      <c r="I71" s="79" t="str">
        <f t="shared" si="2"/>
        <v/>
      </c>
      <c r="J71" s="84"/>
    </row>
    <row r="72" spans="2:10" x14ac:dyDescent="0.35">
      <c r="B72" s="79">
        <f t="shared" si="3"/>
        <v>70</v>
      </c>
      <c r="C72" s="80" t="s">
        <v>93</v>
      </c>
      <c r="D72" s="81" t="s">
        <v>89</v>
      </c>
      <c r="E72" s="84" t="s">
        <v>12</v>
      </c>
      <c r="F72" s="85"/>
      <c r="G72" s="83"/>
      <c r="H72" s="83"/>
      <c r="I72" s="79" t="str">
        <f t="shared" si="2"/>
        <v/>
      </c>
      <c r="J72" s="84"/>
    </row>
    <row r="73" spans="2:10" x14ac:dyDescent="0.35">
      <c r="B73" s="79">
        <f t="shared" si="3"/>
        <v>71</v>
      </c>
      <c r="C73" s="80" t="s">
        <v>93</v>
      </c>
      <c r="D73" s="81" t="s">
        <v>89</v>
      </c>
      <c r="E73" s="84" t="s">
        <v>40</v>
      </c>
      <c r="F73" s="85"/>
      <c r="G73" s="83"/>
      <c r="H73" s="83"/>
      <c r="I73" s="79" t="str">
        <f t="shared" si="2"/>
        <v/>
      </c>
      <c r="J73" s="84"/>
    </row>
    <row r="74" spans="2:10" x14ac:dyDescent="0.35">
      <c r="B74" s="79">
        <f t="shared" si="3"/>
        <v>72</v>
      </c>
      <c r="C74" s="80" t="s">
        <v>93</v>
      </c>
      <c r="D74" s="81" t="s">
        <v>89</v>
      </c>
      <c r="E74" s="84" t="s">
        <v>33</v>
      </c>
      <c r="F74" s="85"/>
      <c r="G74" s="83"/>
      <c r="H74" s="83"/>
      <c r="I74" s="79" t="str">
        <f t="shared" si="2"/>
        <v/>
      </c>
      <c r="J74" s="84"/>
    </row>
    <row r="75" spans="2:10" x14ac:dyDescent="0.35">
      <c r="B75" s="79">
        <f t="shared" si="3"/>
        <v>73</v>
      </c>
      <c r="C75" s="80" t="s">
        <v>93</v>
      </c>
      <c r="D75" s="81" t="s">
        <v>89</v>
      </c>
      <c r="E75" s="84" t="s">
        <v>52</v>
      </c>
      <c r="F75" s="85"/>
      <c r="G75" s="83"/>
      <c r="H75" s="83"/>
      <c r="I75" s="79" t="str">
        <f t="shared" si="2"/>
        <v/>
      </c>
      <c r="J75" s="84"/>
    </row>
    <row r="76" spans="2:10" x14ac:dyDescent="0.35">
      <c r="B76" s="79">
        <f t="shared" si="3"/>
        <v>74</v>
      </c>
      <c r="C76" s="80" t="s">
        <v>93</v>
      </c>
      <c r="D76" s="81" t="s">
        <v>89</v>
      </c>
      <c r="E76" s="84" t="s">
        <v>53</v>
      </c>
      <c r="F76" s="85"/>
      <c r="G76" s="83"/>
      <c r="H76" s="83"/>
      <c r="I76" s="79" t="str">
        <f t="shared" si="2"/>
        <v/>
      </c>
      <c r="J76" s="84"/>
    </row>
    <row r="77" spans="2:10" x14ac:dyDescent="0.35">
      <c r="B77" s="79">
        <f t="shared" si="3"/>
        <v>75</v>
      </c>
      <c r="C77" s="80" t="s">
        <v>93</v>
      </c>
      <c r="D77" s="81" t="s">
        <v>89</v>
      </c>
      <c r="E77" s="84" t="s">
        <v>54</v>
      </c>
      <c r="F77" s="85"/>
      <c r="G77" s="83"/>
      <c r="H77" s="83"/>
      <c r="I77" s="79" t="str">
        <f t="shared" si="2"/>
        <v/>
      </c>
      <c r="J77" s="84"/>
    </row>
    <row r="78" spans="2:10" x14ac:dyDescent="0.35">
      <c r="B78" s="79">
        <f t="shared" si="3"/>
        <v>76</v>
      </c>
      <c r="C78" s="80" t="s">
        <v>93</v>
      </c>
      <c r="D78" s="81" t="s">
        <v>89</v>
      </c>
      <c r="E78" s="84" t="s">
        <v>80</v>
      </c>
      <c r="F78" s="85"/>
      <c r="G78" s="83"/>
      <c r="H78" s="83"/>
      <c r="I78" s="79" t="str">
        <f t="shared" si="2"/>
        <v/>
      </c>
      <c r="J78" s="84"/>
    </row>
    <row r="79" spans="2:10" x14ac:dyDescent="0.35">
      <c r="B79" s="79">
        <f t="shared" si="3"/>
        <v>77</v>
      </c>
      <c r="C79" s="80" t="s">
        <v>93</v>
      </c>
      <c r="D79" s="81" t="s">
        <v>89</v>
      </c>
      <c r="E79" s="84" t="s">
        <v>48</v>
      </c>
      <c r="F79" s="85"/>
      <c r="G79" s="83"/>
      <c r="H79" s="83"/>
      <c r="I79" s="79" t="str">
        <f t="shared" si="2"/>
        <v/>
      </c>
      <c r="J79" s="84"/>
    </row>
    <row r="80" spans="2:10" x14ac:dyDescent="0.35">
      <c r="B80" s="79">
        <f t="shared" si="3"/>
        <v>78</v>
      </c>
      <c r="C80" s="80"/>
      <c r="D80" s="81"/>
      <c r="E80" s="84"/>
      <c r="F80" s="85"/>
      <c r="G80" s="83"/>
      <c r="H80" s="83"/>
      <c r="I80" s="79" t="str">
        <f t="shared" si="2"/>
        <v/>
      </c>
      <c r="J80" s="84"/>
    </row>
    <row r="81" spans="2:10" x14ac:dyDescent="0.35">
      <c r="B81" s="79">
        <f t="shared" si="3"/>
        <v>79</v>
      </c>
      <c r="C81" s="80" t="s">
        <v>95</v>
      </c>
      <c r="D81" s="81" t="s">
        <v>89</v>
      </c>
      <c r="E81" s="84" t="s">
        <v>21</v>
      </c>
      <c r="F81" s="85"/>
      <c r="G81" s="83"/>
      <c r="H81" s="83"/>
      <c r="I81" s="79" t="str">
        <f t="shared" si="2"/>
        <v/>
      </c>
      <c r="J81" s="84"/>
    </row>
    <row r="82" spans="2:10" x14ac:dyDescent="0.35">
      <c r="B82" s="79">
        <f t="shared" si="3"/>
        <v>80</v>
      </c>
      <c r="C82" s="80" t="s">
        <v>95</v>
      </c>
      <c r="D82" s="81" t="s">
        <v>89</v>
      </c>
      <c r="E82" s="84" t="s">
        <v>30</v>
      </c>
      <c r="F82" s="85"/>
      <c r="G82" s="83"/>
      <c r="H82" s="83"/>
      <c r="I82" s="79" t="str">
        <f t="shared" si="2"/>
        <v/>
      </c>
      <c r="J82" s="84"/>
    </row>
    <row r="83" spans="2:10" x14ac:dyDescent="0.35">
      <c r="B83" s="79">
        <f t="shared" si="3"/>
        <v>81</v>
      </c>
      <c r="C83" s="80" t="s">
        <v>95</v>
      </c>
      <c r="D83" s="81" t="s">
        <v>89</v>
      </c>
      <c r="E83" s="84" t="s">
        <v>50</v>
      </c>
      <c r="F83" s="85"/>
      <c r="G83" s="83"/>
      <c r="H83" s="83"/>
      <c r="I83" s="79" t="str">
        <f t="shared" si="2"/>
        <v/>
      </c>
      <c r="J83" s="84"/>
    </row>
    <row r="84" spans="2:10" x14ac:dyDescent="0.35">
      <c r="B84" s="79">
        <f t="shared" si="3"/>
        <v>82</v>
      </c>
      <c r="C84" s="80" t="s">
        <v>95</v>
      </c>
      <c r="D84" s="81" t="s">
        <v>89</v>
      </c>
      <c r="E84" s="84" t="s">
        <v>78</v>
      </c>
      <c r="F84" s="85"/>
      <c r="G84" s="83"/>
      <c r="H84" s="83"/>
      <c r="I84" s="79" t="str">
        <f t="shared" si="2"/>
        <v/>
      </c>
      <c r="J84" s="84"/>
    </row>
    <row r="85" spans="2:10" x14ac:dyDescent="0.35">
      <c r="B85" s="79">
        <f t="shared" si="3"/>
        <v>83</v>
      </c>
      <c r="C85" s="80" t="s">
        <v>95</v>
      </c>
      <c r="D85" s="81" t="s">
        <v>89</v>
      </c>
      <c r="E85" s="84" t="s">
        <v>79</v>
      </c>
      <c r="F85" s="85"/>
      <c r="G85" s="83"/>
      <c r="H85" s="83"/>
      <c r="I85" s="79" t="str">
        <f t="shared" si="2"/>
        <v/>
      </c>
      <c r="J85" s="84"/>
    </row>
    <row r="86" spans="2:10" x14ac:dyDescent="0.35">
      <c r="B86" s="79">
        <f t="shared" si="3"/>
        <v>84</v>
      </c>
      <c r="C86" s="80" t="s">
        <v>95</v>
      </c>
      <c r="D86" s="81" t="s">
        <v>89</v>
      </c>
      <c r="E86" s="84" t="s">
        <v>19</v>
      </c>
      <c r="F86" s="85"/>
      <c r="G86" s="83"/>
      <c r="H86" s="83"/>
      <c r="I86" s="79" t="str">
        <f t="shared" si="2"/>
        <v/>
      </c>
      <c r="J86" s="84"/>
    </row>
    <row r="87" spans="2:10" x14ac:dyDescent="0.35">
      <c r="B87" s="79">
        <f t="shared" si="3"/>
        <v>85</v>
      </c>
      <c r="C87" s="80" t="s">
        <v>95</v>
      </c>
      <c r="D87" s="81" t="s">
        <v>89</v>
      </c>
      <c r="E87" s="84" t="s">
        <v>20</v>
      </c>
      <c r="F87" s="85"/>
      <c r="G87" s="83"/>
      <c r="H87" s="83"/>
      <c r="I87" s="79" t="str">
        <f t="shared" si="2"/>
        <v/>
      </c>
      <c r="J87" s="84"/>
    </row>
    <row r="88" spans="2:10" x14ac:dyDescent="0.35">
      <c r="B88" s="79">
        <f t="shared" si="3"/>
        <v>86</v>
      </c>
      <c r="C88" s="80" t="s">
        <v>95</v>
      </c>
      <c r="D88" s="81" t="s">
        <v>89</v>
      </c>
      <c r="E88" s="84" t="s">
        <v>10</v>
      </c>
      <c r="F88" s="85"/>
      <c r="G88" s="83"/>
      <c r="H88" s="83"/>
      <c r="I88" s="79" t="str">
        <f t="shared" si="2"/>
        <v/>
      </c>
      <c r="J88" s="84"/>
    </row>
    <row r="89" spans="2:10" x14ac:dyDescent="0.35">
      <c r="B89" s="79">
        <f t="shared" si="3"/>
        <v>87</v>
      </c>
      <c r="C89" s="80" t="s">
        <v>95</v>
      </c>
      <c r="D89" s="81" t="s">
        <v>89</v>
      </c>
      <c r="E89" s="84" t="s">
        <v>39</v>
      </c>
      <c r="F89" s="85"/>
      <c r="G89" s="83"/>
      <c r="H89" s="83"/>
      <c r="I89" s="79" t="str">
        <f t="shared" si="2"/>
        <v/>
      </c>
      <c r="J89" s="84"/>
    </row>
    <row r="90" spans="2:10" x14ac:dyDescent="0.35">
      <c r="B90" s="79">
        <f t="shared" si="3"/>
        <v>88</v>
      </c>
      <c r="C90" s="80" t="s">
        <v>95</v>
      </c>
      <c r="D90" s="81" t="s">
        <v>89</v>
      </c>
      <c r="E90" s="84" t="s">
        <v>12</v>
      </c>
      <c r="F90" s="85"/>
      <c r="G90" s="83"/>
      <c r="H90" s="83"/>
      <c r="I90" s="79" t="str">
        <f t="shared" si="2"/>
        <v/>
      </c>
      <c r="J90" s="84"/>
    </row>
    <row r="91" spans="2:10" x14ac:dyDescent="0.35">
      <c r="B91" s="79">
        <f t="shared" si="3"/>
        <v>89</v>
      </c>
      <c r="C91" s="80" t="s">
        <v>95</v>
      </c>
      <c r="D91" s="81" t="s">
        <v>89</v>
      </c>
      <c r="E91" s="84" t="s">
        <v>40</v>
      </c>
      <c r="F91" s="85"/>
      <c r="G91" s="83"/>
      <c r="H91" s="83"/>
      <c r="I91" s="79" t="str">
        <f t="shared" si="2"/>
        <v/>
      </c>
      <c r="J91" s="84"/>
    </row>
    <row r="92" spans="2:10" x14ac:dyDescent="0.35">
      <c r="B92" s="79">
        <f t="shared" si="3"/>
        <v>90</v>
      </c>
      <c r="C92" s="80" t="s">
        <v>95</v>
      </c>
      <c r="D92" s="81" t="s">
        <v>89</v>
      </c>
      <c r="E92" s="84" t="s">
        <v>33</v>
      </c>
      <c r="F92" s="85"/>
      <c r="G92" s="83"/>
      <c r="H92" s="83"/>
      <c r="I92" s="79" t="str">
        <f t="shared" si="2"/>
        <v/>
      </c>
      <c r="J92" s="84"/>
    </row>
    <row r="93" spans="2:10" x14ac:dyDescent="0.35">
      <c r="B93" s="79">
        <f t="shared" si="3"/>
        <v>91</v>
      </c>
      <c r="C93" s="80" t="s">
        <v>95</v>
      </c>
      <c r="D93" s="81" t="s">
        <v>89</v>
      </c>
      <c r="E93" s="84" t="s">
        <v>52</v>
      </c>
      <c r="F93" s="85"/>
      <c r="G93" s="83"/>
      <c r="H93" s="83"/>
      <c r="I93" s="79" t="str">
        <f t="shared" si="2"/>
        <v/>
      </c>
      <c r="J93" s="84"/>
    </row>
    <row r="94" spans="2:10" x14ac:dyDescent="0.35">
      <c r="B94" s="79">
        <f t="shared" si="3"/>
        <v>92</v>
      </c>
      <c r="C94" s="80" t="s">
        <v>95</v>
      </c>
      <c r="D94" s="81" t="s">
        <v>89</v>
      </c>
      <c r="E94" s="84" t="s">
        <v>53</v>
      </c>
      <c r="F94" s="85"/>
      <c r="G94" s="83"/>
      <c r="H94" s="83"/>
      <c r="I94" s="79" t="str">
        <f t="shared" si="2"/>
        <v/>
      </c>
      <c r="J94" s="84"/>
    </row>
    <row r="95" spans="2:10" x14ac:dyDescent="0.35">
      <c r="B95" s="79">
        <f t="shared" si="3"/>
        <v>93</v>
      </c>
      <c r="C95" s="80" t="s">
        <v>95</v>
      </c>
      <c r="D95" s="81" t="s">
        <v>89</v>
      </c>
      <c r="E95" s="84" t="s">
        <v>54</v>
      </c>
      <c r="F95" s="85"/>
      <c r="G95" s="83"/>
      <c r="H95" s="83"/>
      <c r="I95" s="79" t="str">
        <f t="shared" si="2"/>
        <v/>
      </c>
      <c r="J95" s="84"/>
    </row>
    <row r="96" spans="2:10" x14ac:dyDescent="0.35">
      <c r="B96" s="79">
        <f t="shared" si="3"/>
        <v>94</v>
      </c>
      <c r="C96" s="80" t="s">
        <v>95</v>
      </c>
      <c r="D96" s="81" t="s">
        <v>89</v>
      </c>
      <c r="E96" s="84" t="s">
        <v>80</v>
      </c>
      <c r="F96" s="85"/>
      <c r="G96" s="83"/>
      <c r="H96" s="83"/>
      <c r="I96" s="79" t="str">
        <f t="shared" si="2"/>
        <v/>
      </c>
      <c r="J96" s="84"/>
    </row>
    <row r="97" spans="2:10" x14ac:dyDescent="0.35">
      <c r="B97" s="79">
        <f t="shared" si="3"/>
        <v>95</v>
      </c>
      <c r="C97" s="80" t="s">
        <v>95</v>
      </c>
      <c r="D97" s="81" t="s">
        <v>89</v>
      </c>
      <c r="E97" s="84" t="s">
        <v>48</v>
      </c>
      <c r="F97" s="85"/>
      <c r="G97" s="83"/>
      <c r="H97" s="83"/>
      <c r="I97" s="79" t="str">
        <f t="shared" si="2"/>
        <v/>
      </c>
      <c r="J97" s="84"/>
    </row>
    <row r="98" spans="2:10" x14ac:dyDescent="0.35">
      <c r="B98" s="79">
        <f t="shared" si="3"/>
        <v>96</v>
      </c>
      <c r="C98" s="80"/>
      <c r="D98" s="81"/>
      <c r="E98" s="84"/>
      <c r="F98" s="85"/>
      <c r="G98" s="83"/>
      <c r="H98" s="83"/>
      <c r="I98" s="79" t="str">
        <f t="shared" si="2"/>
        <v/>
      </c>
      <c r="J98" s="84"/>
    </row>
    <row r="99" spans="2:10" x14ac:dyDescent="0.35">
      <c r="B99" s="79">
        <f t="shared" si="3"/>
        <v>97</v>
      </c>
      <c r="C99" s="80" t="s">
        <v>94</v>
      </c>
      <c r="D99" s="81" t="s">
        <v>2</v>
      </c>
      <c r="E99" s="84" t="s">
        <v>45</v>
      </c>
      <c r="F99" s="85"/>
      <c r="G99" s="83"/>
      <c r="H99" s="83"/>
      <c r="I99" s="79" t="str">
        <f t="shared" si="2"/>
        <v/>
      </c>
      <c r="J99" s="84"/>
    </row>
    <row r="100" spans="2:10" x14ac:dyDescent="0.35">
      <c r="B100" s="79">
        <f t="shared" si="3"/>
        <v>98</v>
      </c>
      <c r="C100" s="80" t="s">
        <v>94</v>
      </c>
      <c r="D100" s="81" t="s">
        <v>2</v>
      </c>
      <c r="E100" s="84" t="s">
        <v>37</v>
      </c>
      <c r="F100" s="85"/>
      <c r="G100" s="83"/>
      <c r="H100" s="83"/>
      <c r="I100" s="79" t="str">
        <f t="shared" si="2"/>
        <v/>
      </c>
      <c r="J100" s="84"/>
    </row>
    <row r="101" spans="2:10" x14ac:dyDescent="0.35">
      <c r="B101" s="79">
        <f t="shared" si="3"/>
        <v>99</v>
      </c>
      <c r="C101" s="80" t="s">
        <v>94</v>
      </c>
      <c r="D101" s="81" t="s">
        <v>2</v>
      </c>
      <c r="E101" s="84" t="s">
        <v>38</v>
      </c>
      <c r="F101" s="85"/>
      <c r="G101" s="83"/>
      <c r="H101" s="83"/>
      <c r="I101" s="79" t="str">
        <f t="shared" si="2"/>
        <v/>
      </c>
      <c r="J101" s="84"/>
    </row>
    <row r="102" spans="2:10" x14ac:dyDescent="0.35">
      <c r="B102" s="79">
        <f t="shared" si="3"/>
        <v>100</v>
      </c>
      <c r="C102" s="80" t="s">
        <v>94</v>
      </c>
      <c r="D102" s="81" t="s">
        <v>2</v>
      </c>
      <c r="E102" s="84" t="s">
        <v>75</v>
      </c>
      <c r="F102" s="85"/>
      <c r="G102" s="83"/>
      <c r="H102" s="83"/>
      <c r="I102" s="79" t="str">
        <f t="shared" si="2"/>
        <v/>
      </c>
      <c r="J102" s="84"/>
    </row>
    <row r="103" spans="2:10" x14ac:dyDescent="0.35">
      <c r="B103" s="79">
        <f t="shared" si="3"/>
        <v>101</v>
      </c>
      <c r="C103" s="80" t="s">
        <v>94</v>
      </c>
      <c r="D103" s="81" t="s">
        <v>2</v>
      </c>
      <c r="E103" s="84" t="s">
        <v>47</v>
      </c>
      <c r="F103" s="85"/>
      <c r="G103" s="83"/>
      <c r="H103" s="83"/>
      <c r="I103" s="79" t="str">
        <f t="shared" si="2"/>
        <v/>
      </c>
      <c r="J103" s="84"/>
    </row>
    <row r="104" spans="2:10" x14ac:dyDescent="0.35">
      <c r="B104" s="79">
        <f t="shared" si="3"/>
        <v>102</v>
      </c>
      <c r="C104" s="80"/>
      <c r="D104" s="81"/>
      <c r="E104" s="84"/>
      <c r="F104" s="85"/>
      <c r="G104" s="83"/>
      <c r="H104" s="83"/>
      <c r="I104" s="79" t="str">
        <f t="shared" si="2"/>
        <v/>
      </c>
      <c r="J104" s="84"/>
    </row>
    <row r="105" spans="2:10" x14ac:dyDescent="0.35">
      <c r="B105" s="79">
        <f t="shared" si="3"/>
        <v>103</v>
      </c>
      <c r="C105" s="80" t="s">
        <v>91</v>
      </c>
      <c r="D105" s="81" t="s">
        <v>2</v>
      </c>
      <c r="E105" s="84" t="s">
        <v>45</v>
      </c>
      <c r="F105" s="85"/>
      <c r="G105" s="83"/>
      <c r="H105" s="83"/>
      <c r="I105" s="79" t="str">
        <f t="shared" si="2"/>
        <v/>
      </c>
      <c r="J105" s="84"/>
    </row>
    <row r="106" spans="2:10" x14ac:dyDescent="0.35">
      <c r="B106" s="79">
        <f t="shared" si="3"/>
        <v>104</v>
      </c>
      <c r="C106" s="80" t="s">
        <v>91</v>
      </c>
      <c r="D106" s="81" t="s">
        <v>2</v>
      </c>
      <c r="E106" s="84" t="s">
        <v>37</v>
      </c>
      <c r="F106" s="85"/>
      <c r="G106" s="83"/>
      <c r="H106" s="83"/>
      <c r="I106" s="79" t="str">
        <f t="shared" si="2"/>
        <v/>
      </c>
      <c r="J106" s="84"/>
    </row>
    <row r="107" spans="2:10" x14ac:dyDescent="0.35">
      <c r="B107" s="79">
        <f t="shared" si="3"/>
        <v>105</v>
      </c>
      <c r="C107" s="80" t="s">
        <v>91</v>
      </c>
      <c r="D107" s="81" t="s">
        <v>2</v>
      </c>
      <c r="E107" s="84" t="s">
        <v>38</v>
      </c>
      <c r="F107" s="85"/>
      <c r="G107" s="83"/>
      <c r="H107" s="83"/>
      <c r="I107" s="79" t="str">
        <f t="shared" si="2"/>
        <v/>
      </c>
      <c r="J107" s="84"/>
    </row>
    <row r="108" spans="2:10" x14ac:dyDescent="0.35">
      <c r="B108" s="79">
        <f t="shared" si="3"/>
        <v>106</v>
      </c>
      <c r="C108" s="80" t="s">
        <v>91</v>
      </c>
      <c r="D108" s="81" t="s">
        <v>2</v>
      </c>
      <c r="E108" s="84" t="s">
        <v>75</v>
      </c>
      <c r="F108" s="85"/>
      <c r="G108" s="83"/>
      <c r="H108" s="83"/>
      <c r="I108" s="79" t="str">
        <f t="shared" si="2"/>
        <v/>
      </c>
      <c r="J108" s="84"/>
    </row>
    <row r="109" spans="2:10" x14ac:dyDescent="0.35">
      <c r="B109" s="79">
        <f t="shared" si="3"/>
        <v>107</v>
      </c>
      <c r="C109" s="80" t="s">
        <v>91</v>
      </c>
      <c r="D109" s="81" t="s">
        <v>2</v>
      </c>
      <c r="E109" s="84" t="s">
        <v>47</v>
      </c>
      <c r="F109" s="85"/>
      <c r="G109" s="83"/>
      <c r="H109" s="83"/>
      <c r="I109" s="79" t="str">
        <f t="shared" si="2"/>
        <v/>
      </c>
      <c r="J109" s="84"/>
    </row>
    <row r="110" spans="2:10" x14ac:dyDescent="0.35">
      <c r="B110" s="79">
        <f t="shared" si="3"/>
        <v>108</v>
      </c>
      <c r="C110" s="80"/>
      <c r="D110" s="81"/>
      <c r="E110" s="84"/>
      <c r="F110" s="85"/>
      <c r="G110" s="83"/>
      <c r="H110" s="83"/>
      <c r="I110" s="79" t="str">
        <f t="shared" si="2"/>
        <v/>
      </c>
      <c r="J110" s="84"/>
    </row>
    <row r="111" spans="2:10" x14ac:dyDescent="0.35">
      <c r="B111" s="79">
        <f t="shared" si="3"/>
        <v>109</v>
      </c>
      <c r="C111" s="80" t="s">
        <v>93</v>
      </c>
      <c r="D111" s="81" t="s">
        <v>2</v>
      </c>
      <c r="E111" s="84" t="s">
        <v>45</v>
      </c>
      <c r="F111" s="85"/>
      <c r="G111" s="83"/>
      <c r="H111" s="83"/>
      <c r="I111" s="79" t="str">
        <f t="shared" si="2"/>
        <v/>
      </c>
      <c r="J111" s="84"/>
    </row>
    <row r="112" spans="2:10" x14ac:dyDescent="0.35">
      <c r="B112" s="79">
        <f t="shared" si="3"/>
        <v>110</v>
      </c>
      <c r="C112" s="80" t="s">
        <v>93</v>
      </c>
      <c r="D112" s="81" t="s">
        <v>2</v>
      </c>
      <c r="E112" s="84" t="s">
        <v>37</v>
      </c>
      <c r="F112" s="85"/>
      <c r="G112" s="83"/>
      <c r="H112" s="83"/>
      <c r="I112" s="79" t="str">
        <f t="shared" si="2"/>
        <v/>
      </c>
      <c r="J112" s="84"/>
    </row>
    <row r="113" spans="2:10" x14ac:dyDescent="0.35">
      <c r="B113" s="79">
        <f t="shared" si="3"/>
        <v>111</v>
      </c>
      <c r="C113" s="80" t="s">
        <v>93</v>
      </c>
      <c r="D113" s="81" t="s">
        <v>2</v>
      </c>
      <c r="E113" s="84" t="s">
        <v>38</v>
      </c>
      <c r="F113" s="85"/>
      <c r="G113" s="83"/>
      <c r="H113" s="83"/>
      <c r="I113" s="79" t="str">
        <f t="shared" si="2"/>
        <v/>
      </c>
      <c r="J113" s="84"/>
    </row>
    <row r="114" spans="2:10" x14ac:dyDescent="0.35">
      <c r="B114" s="79">
        <f t="shared" si="3"/>
        <v>112</v>
      </c>
      <c r="C114" s="80" t="s">
        <v>93</v>
      </c>
      <c r="D114" s="81" t="s">
        <v>2</v>
      </c>
      <c r="E114" s="84" t="s">
        <v>75</v>
      </c>
      <c r="F114" s="85"/>
      <c r="G114" s="83"/>
      <c r="H114" s="83"/>
      <c r="I114" s="79" t="str">
        <f t="shared" si="2"/>
        <v/>
      </c>
      <c r="J114" s="84"/>
    </row>
    <row r="115" spans="2:10" x14ac:dyDescent="0.35">
      <c r="B115" s="79">
        <f t="shared" si="3"/>
        <v>113</v>
      </c>
      <c r="C115" s="80" t="s">
        <v>93</v>
      </c>
      <c r="D115" s="81" t="s">
        <v>2</v>
      </c>
      <c r="E115" s="84" t="s">
        <v>47</v>
      </c>
      <c r="F115" s="85"/>
      <c r="G115" s="83"/>
      <c r="H115" s="83"/>
      <c r="I115" s="79" t="str">
        <f t="shared" si="2"/>
        <v/>
      </c>
      <c r="J115" s="84"/>
    </row>
    <row r="116" spans="2:10" x14ac:dyDescent="0.35">
      <c r="B116" s="79">
        <f t="shared" si="3"/>
        <v>114</v>
      </c>
      <c r="C116" s="80"/>
      <c r="D116" s="81"/>
      <c r="E116" s="84"/>
      <c r="F116" s="85"/>
      <c r="G116" s="83"/>
      <c r="H116" s="83"/>
      <c r="I116" s="79" t="str">
        <f t="shared" si="2"/>
        <v/>
      </c>
      <c r="J116" s="84"/>
    </row>
    <row r="117" spans="2:10" x14ac:dyDescent="0.35">
      <c r="B117" s="79">
        <f t="shared" si="3"/>
        <v>115</v>
      </c>
      <c r="C117" s="80" t="s">
        <v>95</v>
      </c>
      <c r="D117" s="81" t="s">
        <v>2</v>
      </c>
      <c r="E117" s="84" t="s">
        <v>45</v>
      </c>
      <c r="F117" s="85"/>
      <c r="G117" s="83"/>
      <c r="H117" s="83"/>
      <c r="I117" s="79" t="str">
        <f t="shared" si="2"/>
        <v/>
      </c>
      <c r="J117" s="84"/>
    </row>
    <row r="118" spans="2:10" x14ac:dyDescent="0.35">
      <c r="B118" s="79">
        <f t="shared" si="3"/>
        <v>116</v>
      </c>
      <c r="C118" s="80" t="s">
        <v>95</v>
      </c>
      <c r="D118" s="81" t="s">
        <v>2</v>
      </c>
      <c r="E118" s="84" t="s">
        <v>37</v>
      </c>
      <c r="F118" s="85"/>
      <c r="G118" s="83"/>
      <c r="H118" s="83"/>
      <c r="I118" s="79" t="str">
        <f t="shared" si="2"/>
        <v/>
      </c>
      <c r="J118" s="84"/>
    </row>
    <row r="119" spans="2:10" x14ac:dyDescent="0.35">
      <c r="B119" s="79">
        <f t="shared" si="3"/>
        <v>117</v>
      </c>
      <c r="C119" s="80" t="s">
        <v>95</v>
      </c>
      <c r="D119" s="81" t="s">
        <v>2</v>
      </c>
      <c r="E119" s="84" t="s">
        <v>38</v>
      </c>
      <c r="F119" s="85"/>
      <c r="G119" s="83"/>
      <c r="H119" s="83"/>
      <c r="I119" s="79" t="str">
        <f t="shared" si="2"/>
        <v/>
      </c>
      <c r="J119" s="84"/>
    </row>
    <row r="120" spans="2:10" x14ac:dyDescent="0.35">
      <c r="B120" s="79">
        <f t="shared" si="3"/>
        <v>118</v>
      </c>
      <c r="C120" s="80" t="s">
        <v>95</v>
      </c>
      <c r="D120" s="81" t="s">
        <v>2</v>
      </c>
      <c r="E120" s="84" t="s">
        <v>75</v>
      </c>
      <c r="F120" s="85"/>
      <c r="G120" s="83"/>
      <c r="H120" s="83"/>
      <c r="I120" s="79" t="str">
        <f t="shared" si="2"/>
        <v/>
      </c>
      <c r="J120" s="84"/>
    </row>
    <row r="121" spans="2:10" x14ac:dyDescent="0.35">
      <c r="B121" s="79">
        <f t="shared" si="3"/>
        <v>119</v>
      </c>
      <c r="C121" s="80" t="s">
        <v>95</v>
      </c>
      <c r="D121" s="81" t="s">
        <v>2</v>
      </c>
      <c r="E121" s="84" t="s">
        <v>47</v>
      </c>
      <c r="F121" s="85"/>
      <c r="G121" s="83"/>
      <c r="H121" s="83"/>
      <c r="I121" s="79" t="str">
        <f t="shared" si="2"/>
        <v/>
      </c>
      <c r="J121" s="84"/>
    </row>
    <row r="122" spans="2:10" x14ac:dyDescent="0.35">
      <c r="B122" s="79">
        <f t="shared" si="3"/>
        <v>120</v>
      </c>
      <c r="C122" s="80"/>
      <c r="D122" s="81"/>
      <c r="E122" s="84"/>
      <c r="F122" s="85"/>
      <c r="G122" s="83"/>
      <c r="H122" s="83"/>
      <c r="I122" s="79" t="str">
        <f t="shared" si="2"/>
        <v/>
      </c>
      <c r="J122" s="84"/>
    </row>
    <row r="123" spans="2:10" x14ac:dyDescent="0.35">
      <c r="B123" s="79">
        <f t="shared" si="3"/>
        <v>121</v>
      </c>
      <c r="C123" s="80" t="s">
        <v>94</v>
      </c>
      <c r="D123" s="81" t="s">
        <v>13</v>
      </c>
      <c r="E123" s="84" t="s">
        <v>34</v>
      </c>
      <c r="F123" s="85"/>
      <c r="G123" s="83"/>
      <c r="H123" s="83"/>
      <c r="I123" s="79" t="str">
        <f t="shared" si="2"/>
        <v/>
      </c>
      <c r="J123" s="84"/>
    </row>
    <row r="124" spans="2:10" x14ac:dyDescent="0.35">
      <c r="B124" s="79">
        <f t="shared" si="3"/>
        <v>122</v>
      </c>
      <c r="C124" s="80" t="s">
        <v>94</v>
      </c>
      <c r="D124" s="81" t="s">
        <v>13</v>
      </c>
      <c r="E124" s="84" t="s">
        <v>35</v>
      </c>
      <c r="F124" s="85"/>
      <c r="G124" s="83"/>
      <c r="H124" s="83"/>
      <c r="I124" s="79" t="str">
        <f t="shared" si="2"/>
        <v/>
      </c>
      <c r="J124" s="84"/>
    </row>
    <row r="125" spans="2:10" x14ac:dyDescent="0.35">
      <c r="B125" s="79">
        <f t="shared" si="3"/>
        <v>123</v>
      </c>
      <c r="C125" s="80" t="s">
        <v>94</v>
      </c>
      <c r="D125" s="81" t="s">
        <v>13</v>
      </c>
      <c r="E125" s="84" t="s">
        <v>36</v>
      </c>
      <c r="F125" s="85"/>
      <c r="G125" s="83"/>
      <c r="H125" s="83"/>
      <c r="I125" s="79" t="str">
        <f t="shared" si="2"/>
        <v/>
      </c>
      <c r="J125" s="84"/>
    </row>
    <row r="126" spans="2:10" x14ac:dyDescent="0.35">
      <c r="B126" s="79">
        <f t="shared" si="3"/>
        <v>124</v>
      </c>
      <c r="C126" s="80" t="s">
        <v>94</v>
      </c>
      <c r="D126" s="81" t="s">
        <v>13</v>
      </c>
      <c r="E126" s="84" t="s">
        <v>43</v>
      </c>
      <c r="F126" s="85"/>
      <c r="G126" s="83"/>
      <c r="H126" s="83"/>
      <c r="I126" s="79" t="str">
        <f t="shared" si="2"/>
        <v/>
      </c>
      <c r="J126" s="84"/>
    </row>
    <row r="127" spans="2:10" x14ac:dyDescent="0.35">
      <c r="B127" s="79">
        <f t="shared" si="3"/>
        <v>125</v>
      </c>
      <c r="C127" s="80" t="s">
        <v>94</v>
      </c>
      <c r="D127" s="81" t="s">
        <v>13</v>
      </c>
      <c r="E127" s="84" t="s">
        <v>41</v>
      </c>
      <c r="F127" s="85"/>
      <c r="G127" s="83"/>
      <c r="H127" s="83"/>
      <c r="I127" s="79" t="str">
        <f t="shared" si="2"/>
        <v/>
      </c>
      <c r="J127" s="84"/>
    </row>
    <row r="128" spans="2:10" x14ac:dyDescent="0.35">
      <c r="B128" s="79">
        <f t="shared" si="3"/>
        <v>126</v>
      </c>
      <c r="C128" s="80" t="s">
        <v>94</v>
      </c>
      <c r="D128" s="81" t="s">
        <v>13</v>
      </c>
      <c r="E128" s="84" t="s">
        <v>42</v>
      </c>
      <c r="F128" s="85"/>
      <c r="G128" s="83"/>
      <c r="H128" s="83"/>
      <c r="I128" s="79" t="str">
        <f t="shared" si="2"/>
        <v/>
      </c>
      <c r="J128" s="84"/>
    </row>
    <row r="129" spans="2:10" x14ac:dyDescent="0.35">
      <c r="B129" s="79">
        <f t="shared" si="3"/>
        <v>127</v>
      </c>
      <c r="C129" s="80" t="s">
        <v>94</v>
      </c>
      <c r="D129" s="81" t="s">
        <v>13</v>
      </c>
      <c r="E129" s="84" t="s">
        <v>44</v>
      </c>
      <c r="F129" s="85"/>
      <c r="G129" s="83"/>
      <c r="H129" s="83"/>
      <c r="I129" s="79" t="str">
        <f t="shared" si="2"/>
        <v/>
      </c>
      <c r="J129" s="84"/>
    </row>
    <row r="130" spans="2:10" x14ac:dyDescent="0.35">
      <c r="B130" s="79">
        <f t="shared" si="3"/>
        <v>128</v>
      </c>
      <c r="C130" s="80"/>
      <c r="D130" s="81"/>
      <c r="E130" s="84"/>
      <c r="F130" s="85"/>
      <c r="G130" s="83"/>
      <c r="H130" s="83"/>
      <c r="I130" s="79" t="str">
        <f t="shared" si="2"/>
        <v/>
      </c>
      <c r="J130" s="84"/>
    </row>
    <row r="131" spans="2:10" x14ac:dyDescent="0.35">
      <c r="B131" s="79">
        <f t="shared" si="3"/>
        <v>129</v>
      </c>
      <c r="C131" s="80" t="s">
        <v>91</v>
      </c>
      <c r="D131" s="81" t="s">
        <v>13</v>
      </c>
      <c r="E131" s="84" t="s">
        <v>34</v>
      </c>
      <c r="F131" s="85"/>
      <c r="G131" s="83"/>
      <c r="H131" s="83"/>
      <c r="I131" s="79" t="str">
        <f t="shared" si="2"/>
        <v/>
      </c>
      <c r="J131" s="84"/>
    </row>
    <row r="132" spans="2:10" x14ac:dyDescent="0.35">
      <c r="B132" s="79">
        <f t="shared" si="3"/>
        <v>130</v>
      </c>
      <c r="C132" s="80" t="s">
        <v>91</v>
      </c>
      <c r="D132" s="81" t="s">
        <v>13</v>
      </c>
      <c r="E132" s="84" t="s">
        <v>35</v>
      </c>
      <c r="F132" s="85"/>
      <c r="G132" s="83"/>
      <c r="H132" s="83"/>
      <c r="I132" s="79" t="str">
        <f t="shared" ref="I132:I195" si="4">IF(G132="","",IF(H132&lt;&gt;"","PAGO","A PAGAR"))</f>
        <v/>
      </c>
      <c r="J132" s="84"/>
    </row>
    <row r="133" spans="2:10" x14ac:dyDescent="0.35">
      <c r="B133" s="79">
        <f t="shared" ref="B133:B196" si="5">B132+1</f>
        <v>131</v>
      </c>
      <c r="C133" s="80" t="s">
        <v>91</v>
      </c>
      <c r="D133" s="81" t="s">
        <v>13</v>
      </c>
      <c r="E133" s="84" t="s">
        <v>36</v>
      </c>
      <c r="F133" s="85"/>
      <c r="G133" s="83"/>
      <c r="H133" s="83"/>
      <c r="I133" s="79" t="str">
        <f t="shared" si="4"/>
        <v/>
      </c>
      <c r="J133" s="84"/>
    </row>
    <row r="134" spans="2:10" x14ac:dyDescent="0.35">
      <c r="B134" s="79">
        <f t="shared" si="5"/>
        <v>132</v>
      </c>
      <c r="C134" s="80" t="s">
        <v>91</v>
      </c>
      <c r="D134" s="81" t="s">
        <v>13</v>
      </c>
      <c r="E134" s="84" t="s">
        <v>43</v>
      </c>
      <c r="F134" s="85"/>
      <c r="G134" s="83"/>
      <c r="H134" s="83"/>
      <c r="I134" s="79" t="str">
        <f t="shared" si="4"/>
        <v/>
      </c>
      <c r="J134" s="84"/>
    </row>
    <row r="135" spans="2:10" x14ac:dyDescent="0.35">
      <c r="B135" s="79">
        <f t="shared" si="5"/>
        <v>133</v>
      </c>
      <c r="C135" s="80" t="s">
        <v>91</v>
      </c>
      <c r="D135" s="81" t="s">
        <v>13</v>
      </c>
      <c r="E135" s="84" t="s">
        <v>41</v>
      </c>
      <c r="F135" s="85"/>
      <c r="G135" s="83"/>
      <c r="H135" s="83"/>
      <c r="I135" s="79" t="str">
        <f t="shared" si="4"/>
        <v/>
      </c>
      <c r="J135" s="84"/>
    </row>
    <row r="136" spans="2:10" x14ac:dyDescent="0.35">
      <c r="B136" s="79">
        <f t="shared" si="5"/>
        <v>134</v>
      </c>
      <c r="C136" s="80" t="s">
        <v>91</v>
      </c>
      <c r="D136" s="81" t="s">
        <v>13</v>
      </c>
      <c r="E136" s="84" t="s">
        <v>42</v>
      </c>
      <c r="F136" s="85"/>
      <c r="G136" s="83"/>
      <c r="H136" s="83"/>
      <c r="I136" s="79" t="str">
        <f t="shared" si="4"/>
        <v/>
      </c>
      <c r="J136" s="84"/>
    </row>
    <row r="137" spans="2:10" x14ac:dyDescent="0.35">
      <c r="B137" s="79">
        <f t="shared" si="5"/>
        <v>135</v>
      </c>
      <c r="C137" s="80" t="s">
        <v>91</v>
      </c>
      <c r="D137" s="81" t="s">
        <v>13</v>
      </c>
      <c r="E137" s="84" t="s">
        <v>44</v>
      </c>
      <c r="F137" s="85"/>
      <c r="G137" s="83"/>
      <c r="H137" s="83"/>
      <c r="I137" s="79" t="str">
        <f t="shared" si="4"/>
        <v/>
      </c>
      <c r="J137" s="84"/>
    </row>
    <row r="138" spans="2:10" x14ac:dyDescent="0.35">
      <c r="B138" s="79">
        <f t="shared" si="5"/>
        <v>136</v>
      </c>
      <c r="C138" s="80"/>
      <c r="D138" s="81"/>
      <c r="E138" s="84"/>
      <c r="F138" s="85"/>
      <c r="G138" s="83"/>
      <c r="H138" s="83"/>
      <c r="I138" s="79" t="str">
        <f t="shared" si="4"/>
        <v/>
      </c>
      <c r="J138" s="84"/>
    </row>
    <row r="139" spans="2:10" x14ac:dyDescent="0.35">
      <c r="B139" s="79">
        <f t="shared" si="5"/>
        <v>137</v>
      </c>
      <c r="C139" s="80" t="s">
        <v>93</v>
      </c>
      <c r="D139" s="81" t="s">
        <v>13</v>
      </c>
      <c r="E139" s="84" t="s">
        <v>34</v>
      </c>
      <c r="F139" s="85"/>
      <c r="G139" s="83"/>
      <c r="H139" s="83"/>
      <c r="I139" s="79" t="str">
        <f t="shared" si="4"/>
        <v/>
      </c>
      <c r="J139" s="84"/>
    </row>
    <row r="140" spans="2:10" x14ac:dyDescent="0.35">
      <c r="B140" s="79">
        <f t="shared" si="5"/>
        <v>138</v>
      </c>
      <c r="C140" s="80" t="s">
        <v>93</v>
      </c>
      <c r="D140" s="81" t="s">
        <v>13</v>
      </c>
      <c r="E140" s="84" t="s">
        <v>35</v>
      </c>
      <c r="F140" s="85"/>
      <c r="G140" s="83"/>
      <c r="H140" s="83"/>
      <c r="I140" s="79" t="str">
        <f t="shared" si="4"/>
        <v/>
      </c>
      <c r="J140" s="84"/>
    </row>
    <row r="141" spans="2:10" x14ac:dyDescent="0.35">
      <c r="B141" s="79">
        <f t="shared" si="5"/>
        <v>139</v>
      </c>
      <c r="C141" s="80" t="s">
        <v>93</v>
      </c>
      <c r="D141" s="81" t="s">
        <v>13</v>
      </c>
      <c r="E141" s="84" t="s">
        <v>36</v>
      </c>
      <c r="F141" s="85"/>
      <c r="G141" s="83"/>
      <c r="H141" s="83"/>
      <c r="I141" s="79" t="str">
        <f t="shared" si="4"/>
        <v/>
      </c>
      <c r="J141" s="84"/>
    </row>
    <row r="142" spans="2:10" x14ac:dyDescent="0.35">
      <c r="B142" s="79">
        <f t="shared" si="5"/>
        <v>140</v>
      </c>
      <c r="C142" s="80" t="s">
        <v>93</v>
      </c>
      <c r="D142" s="81" t="s">
        <v>13</v>
      </c>
      <c r="E142" s="84" t="s">
        <v>43</v>
      </c>
      <c r="F142" s="85"/>
      <c r="G142" s="83"/>
      <c r="H142" s="83"/>
      <c r="I142" s="79" t="str">
        <f t="shared" si="4"/>
        <v/>
      </c>
      <c r="J142" s="84"/>
    </row>
    <row r="143" spans="2:10" x14ac:dyDescent="0.35">
      <c r="B143" s="79">
        <f t="shared" si="5"/>
        <v>141</v>
      </c>
      <c r="C143" s="80" t="s">
        <v>93</v>
      </c>
      <c r="D143" s="81" t="s">
        <v>13</v>
      </c>
      <c r="E143" s="84" t="s">
        <v>41</v>
      </c>
      <c r="F143" s="85"/>
      <c r="G143" s="83"/>
      <c r="H143" s="83"/>
      <c r="I143" s="79" t="str">
        <f t="shared" si="4"/>
        <v/>
      </c>
      <c r="J143" s="84"/>
    </row>
    <row r="144" spans="2:10" x14ac:dyDescent="0.35">
      <c r="B144" s="79">
        <f t="shared" si="5"/>
        <v>142</v>
      </c>
      <c r="C144" s="80" t="s">
        <v>93</v>
      </c>
      <c r="D144" s="81" t="s">
        <v>13</v>
      </c>
      <c r="E144" s="84" t="s">
        <v>42</v>
      </c>
      <c r="F144" s="85"/>
      <c r="G144" s="83"/>
      <c r="H144" s="83"/>
      <c r="I144" s="79" t="str">
        <f t="shared" si="4"/>
        <v/>
      </c>
      <c r="J144" s="84"/>
    </row>
    <row r="145" spans="2:10" x14ac:dyDescent="0.35">
      <c r="B145" s="79">
        <f t="shared" si="5"/>
        <v>143</v>
      </c>
      <c r="C145" s="80" t="s">
        <v>93</v>
      </c>
      <c r="D145" s="81" t="s">
        <v>13</v>
      </c>
      <c r="E145" s="84" t="s">
        <v>44</v>
      </c>
      <c r="F145" s="85"/>
      <c r="G145" s="83"/>
      <c r="H145" s="83"/>
      <c r="I145" s="79" t="str">
        <f t="shared" si="4"/>
        <v/>
      </c>
      <c r="J145" s="84"/>
    </row>
    <row r="146" spans="2:10" x14ac:dyDescent="0.35">
      <c r="B146" s="79">
        <f t="shared" si="5"/>
        <v>144</v>
      </c>
      <c r="C146" s="80"/>
      <c r="D146" s="81"/>
      <c r="E146" s="84"/>
      <c r="F146" s="85"/>
      <c r="G146" s="83"/>
      <c r="H146" s="83"/>
      <c r="I146" s="79" t="str">
        <f t="shared" si="4"/>
        <v/>
      </c>
      <c r="J146" s="84"/>
    </row>
    <row r="147" spans="2:10" x14ac:dyDescent="0.35">
      <c r="B147" s="79">
        <f t="shared" si="5"/>
        <v>145</v>
      </c>
      <c r="C147" s="80" t="s">
        <v>95</v>
      </c>
      <c r="D147" s="81" t="s">
        <v>13</v>
      </c>
      <c r="E147" s="84" t="s">
        <v>34</v>
      </c>
      <c r="F147" s="85"/>
      <c r="G147" s="83"/>
      <c r="H147" s="83"/>
      <c r="I147" s="79" t="str">
        <f t="shared" si="4"/>
        <v/>
      </c>
      <c r="J147" s="84"/>
    </row>
    <row r="148" spans="2:10" x14ac:dyDescent="0.35">
      <c r="B148" s="79">
        <f t="shared" si="5"/>
        <v>146</v>
      </c>
      <c r="C148" s="80" t="s">
        <v>95</v>
      </c>
      <c r="D148" s="81" t="s">
        <v>13</v>
      </c>
      <c r="E148" s="84" t="s">
        <v>35</v>
      </c>
      <c r="F148" s="85"/>
      <c r="G148" s="83"/>
      <c r="H148" s="83"/>
      <c r="I148" s="79" t="str">
        <f t="shared" si="4"/>
        <v/>
      </c>
      <c r="J148" s="84"/>
    </row>
    <row r="149" spans="2:10" x14ac:dyDescent="0.35">
      <c r="B149" s="79">
        <f t="shared" si="5"/>
        <v>147</v>
      </c>
      <c r="C149" s="80" t="s">
        <v>95</v>
      </c>
      <c r="D149" s="81" t="s">
        <v>13</v>
      </c>
      <c r="E149" s="84" t="s">
        <v>36</v>
      </c>
      <c r="F149" s="85"/>
      <c r="G149" s="83"/>
      <c r="H149" s="83"/>
      <c r="I149" s="79" t="str">
        <f t="shared" si="4"/>
        <v/>
      </c>
      <c r="J149" s="84"/>
    </row>
    <row r="150" spans="2:10" x14ac:dyDescent="0.35">
      <c r="B150" s="79">
        <f t="shared" si="5"/>
        <v>148</v>
      </c>
      <c r="C150" s="80" t="s">
        <v>95</v>
      </c>
      <c r="D150" s="81" t="s">
        <v>13</v>
      </c>
      <c r="E150" s="84" t="s">
        <v>43</v>
      </c>
      <c r="F150" s="85"/>
      <c r="G150" s="83"/>
      <c r="H150" s="83"/>
      <c r="I150" s="79" t="str">
        <f t="shared" si="4"/>
        <v/>
      </c>
      <c r="J150" s="84"/>
    </row>
    <row r="151" spans="2:10" x14ac:dyDescent="0.35">
      <c r="B151" s="79">
        <f t="shared" si="5"/>
        <v>149</v>
      </c>
      <c r="C151" s="80" t="s">
        <v>95</v>
      </c>
      <c r="D151" s="81" t="s">
        <v>13</v>
      </c>
      <c r="E151" s="84" t="s">
        <v>41</v>
      </c>
      <c r="F151" s="85"/>
      <c r="G151" s="83"/>
      <c r="H151" s="83"/>
      <c r="I151" s="79" t="str">
        <f t="shared" si="4"/>
        <v/>
      </c>
      <c r="J151" s="84"/>
    </row>
    <row r="152" spans="2:10" x14ac:dyDescent="0.35">
      <c r="B152" s="79">
        <f t="shared" si="5"/>
        <v>150</v>
      </c>
      <c r="C152" s="80" t="s">
        <v>95</v>
      </c>
      <c r="D152" s="81" t="s">
        <v>13</v>
      </c>
      <c r="E152" s="84" t="s">
        <v>42</v>
      </c>
      <c r="F152" s="85"/>
      <c r="G152" s="83"/>
      <c r="H152" s="83"/>
      <c r="I152" s="79" t="str">
        <f t="shared" si="4"/>
        <v/>
      </c>
      <c r="J152" s="84"/>
    </row>
    <row r="153" spans="2:10" x14ac:dyDescent="0.35">
      <c r="B153" s="79">
        <f t="shared" si="5"/>
        <v>151</v>
      </c>
      <c r="C153" s="80" t="s">
        <v>95</v>
      </c>
      <c r="D153" s="81" t="s">
        <v>13</v>
      </c>
      <c r="E153" s="84" t="s">
        <v>44</v>
      </c>
      <c r="F153" s="85"/>
      <c r="G153" s="83"/>
      <c r="H153" s="83"/>
      <c r="I153" s="79" t="str">
        <f t="shared" si="4"/>
        <v/>
      </c>
      <c r="J153" s="84"/>
    </row>
    <row r="154" spans="2:10" x14ac:dyDescent="0.35">
      <c r="B154" s="79">
        <f t="shared" si="5"/>
        <v>152</v>
      </c>
      <c r="C154" s="80"/>
      <c r="D154" s="81"/>
      <c r="E154" s="84"/>
      <c r="F154" s="85"/>
      <c r="G154" s="83"/>
      <c r="H154" s="83"/>
      <c r="I154" s="79" t="str">
        <f t="shared" si="4"/>
        <v/>
      </c>
      <c r="J154" s="84"/>
    </row>
    <row r="155" spans="2:10" x14ac:dyDescent="0.35">
      <c r="B155" s="79">
        <f t="shared" si="5"/>
        <v>153</v>
      </c>
      <c r="C155" s="80" t="s">
        <v>94</v>
      </c>
      <c r="D155" s="81" t="s">
        <v>0</v>
      </c>
      <c r="E155" s="84" t="s">
        <v>23</v>
      </c>
      <c r="F155" s="85"/>
      <c r="G155" s="83"/>
      <c r="H155" s="83"/>
      <c r="I155" s="79" t="str">
        <f t="shared" si="4"/>
        <v/>
      </c>
      <c r="J155" s="84"/>
    </row>
    <row r="156" spans="2:10" x14ac:dyDescent="0.35">
      <c r="B156" s="79">
        <f t="shared" si="5"/>
        <v>154</v>
      </c>
      <c r="C156" s="80" t="s">
        <v>94</v>
      </c>
      <c r="D156" s="81" t="s">
        <v>0</v>
      </c>
      <c r="E156" s="84" t="s">
        <v>24</v>
      </c>
      <c r="F156" s="85"/>
      <c r="G156" s="83"/>
      <c r="H156" s="83"/>
      <c r="I156" s="79" t="str">
        <f t="shared" si="4"/>
        <v/>
      </c>
      <c r="J156" s="84"/>
    </row>
    <row r="157" spans="2:10" x14ac:dyDescent="0.35">
      <c r="B157" s="79">
        <f t="shared" si="5"/>
        <v>155</v>
      </c>
      <c r="C157" s="80" t="s">
        <v>94</v>
      </c>
      <c r="D157" s="81" t="s">
        <v>0</v>
      </c>
      <c r="E157" s="84" t="s">
        <v>1</v>
      </c>
      <c r="F157" s="85"/>
      <c r="G157" s="83"/>
      <c r="H157" s="83"/>
      <c r="I157" s="79" t="str">
        <f t="shared" si="4"/>
        <v/>
      </c>
      <c r="J157" s="84"/>
    </row>
    <row r="158" spans="2:10" x14ac:dyDescent="0.35">
      <c r="B158" s="79">
        <f t="shared" si="5"/>
        <v>156</v>
      </c>
      <c r="C158" s="80" t="s">
        <v>94</v>
      </c>
      <c r="D158" s="81" t="s">
        <v>0</v>
      </c>
      <c r="E158" s="84" t="s">
        <v>22</v>
      </c>
      <c r="F158" s="85"/>
      <c r="G158" s="83"/>
      <c r="H158" s="83"/>
      <c r="I158" s="79" t="str">
        <f t="shared" si="4"/>
        <v/>
      </c>
      <c r="J158" s="84"/>
    </row>
    <row r="159" spans="2:10" x14ac:dyDescent="0.35">
      <c r="B159" s="79">
        <f t="shared" si="5"/>
        <v>157</v>
      </c>
      <c r="C159" s="80" t="s">
        <v>94</v>
      </c>
      <c r="D159" s="81" t="s">
        <v>0</v>
      </c>
      <c r="E159" s="84" t="s">
        <v>73</v>
      </c>
      <c r="F159" s="85"/>
      <c r="G159" s="83"/>
      <c r="H159" s="83"/>
      <c r="I159" s="79" t="str">
        <f t="shared" si="4"/>
        <v/>
      </c>
      <c r="J159" s="84"/>
    </row>
    <row r="160" spans="2:10" x14ac:dyDescent="0.35">
      <c r="B160" s="79">
        <f t="shared" si="5"/>
        <v>158</v>
      </c>
      <c r="C160" s="80" t="s">
        <v>94</v>
      </c>
      <c r="D160" s="81" t="s">
        <v>0</v>
      </c>
      <c r="E160" s="84" t="s">
        <v>27</v>
      </c>
      <c r="F160" s="85"/>
      <c r="G160" s="83"/>
      <c r="H160" s="83"/>
      <c r="I160" s="79" t="str">
        <f t="shared" si="4"/>
        <v/>
      </c>
      <c r="J160" s="84"/>
    </row>
    <row r="161" spans="2:10" x14ac:dyDescent="0.35">
      <c r="B161" s="79">
        <f t="shared" si="5"/>
        <v>159</v>
      </c>
      <c r="C161" s="80" t="s">
        <v>94</v>
      </c>
      <c r="D161" s="81" t="s">
        <v>0</v>
      </c>
      <c r="E161" s="84" t="s">
        <v>28</v>
      </c>
      <c r="F161" s="85"/>
      <c r="G161" s="83"/>
      <c r="H161" s="83"/>
      <c r="I161" s="79" t="str">
        <f t="shared" si="4"/>
        <v/>
      </c>
      <c r="J161" s="84"/>
    </row>
    <row r="162" spans="2:10" x14ac:dyDescent="0.35">
      <c r="B162" s="79">
        <f t="shared" si="5"/>
        <v>160</v>
      </c>
      <c r="C162" s="80" t="s">
        <v>94</v>
      </c>
      <c r="D162" s="81" t="s">
        <v>0</v>
      </c>
      <c r="E162" s="84" t="s">
        <v>29</v>
      </c>
      <c r="F162" s="85"/>
      <c r="G162" s="83"/>
      <c r="H162" s="83"/>
      <c r="I162" s="79" t="str">
        <f t="shared" si="4"/>
        <v/>
      </c>
      <c r="J162" s="84"/>
    </row>
    <row r="163" spans="2:10" x14ac:dyDescent="0.35">
      <c r="B163" s="79">
        <f t="shared" si="5"/>
        <v>161</v>
      </c>
      <c r="C163" s="80" t="s">
        <v>94</v>
      </c>
      <c r="D163" s="81" t="s">
        <v>0</v>
      </c>
      <c r="E163" s="84" t="s">
        <v>26</v>
      </c>
      <c r="F163" s="85"/>
      <c r="G163" s="83"/>
      <c r="H163" s="83"/>
      <c r="I163" s="79" t="str">
        <f t="shared" si="4"/>
        <v/>
      </c>
      <c r="J163" s="84"/>
    </row>
    <row r="164" spans="2:10" x14ac:dyDescent="0.35">
      <c r="B164" s="79">
        <f t="shared" si="5"/>
        <v>162</v>
      </c>
      <c r="C164" s="80"/>
      <c r="D164" s="81" t="s">
        <v>0</v>
      </c>
      <c r="E164" s="84" t="s">
        <v>14</v>
      </c>
      <c r="F164" s="85"/>
      <c r="G164" s="83"/>
      <c r="H164" s="83"/>
      <c r="I164" s="79" t="str">
        <f t="shared" si="4"/>
        <v/>
      </c>
      <c r="J164" s="84"/>
    </row>
    <row r="165" spans="2:10" x14ac:dyDescent="0.35">
      <c r="B165" s="79">
        <f t="shared" si="5"/>
        <v>163</v>
      </c>
      <c r="C165" s="80"/>
      <c r="D165" s="81"/>
      <c r="E165" s="84"/>
      <c r="F165" s="85"/>
      <c r="G165" s="83"/>
      <c r="H165" s="83"/>
      <c r="I165" s="79" t="str">
        <f t="shared" si="4"/>
        <v/>
      </c>
      <c r="J165" s="84"/>
    </row>
    <row r="166" spans="2:10" x14ac:dyDescent="0.35">
      <c r="B166" s="79">
        <f t="shared" si="5"/>
        <v>164</v>
      </c>
      <c r="C166" s="80" t="s">
        <v>91</v>
      </c>
      <c r="D166" s="81" t="s">
        <v>0</v>
      </c>
      <c r="E166" s="84" t="s">
        <v>23</v>
      </c>
      <c r="F166" s="85"/>
      <c r="G166" s="83"/>
      <c r="H166" s="83"/>
      <c r="I166" s="79" t="str">
        <f t="shared" si="4"/>
        <v/>
      </c>
      <c r="J166" s="84"/>
    </row>
    <row r="167" spans="2:10" x14ac:dyDescent="0.35">
      <c r="B167" s="79">
        <f t="shared" si="5"/>
        <v>165</v>
      </c>
      <c r="C167" s="80" t="s">
        <v>91</v>
      </c>
      <c r="D167" s="81" t="s">
        <v>0</v>
      </c>
      <c r="E167" s="84" t="s">
        <v>24</v>
      </c>
      <c r="F167" s="85"/>
      <c r="G167" s="83"/>
      <c r="H167" s="83"/>
      <c r="I167" s="79" t="str">
        <f t="shared" si="4"/>
        <v/>
      </c>
      <c r="J167" s="84"/>
    </row>
    <row r="168" spans="2:10" x14ac:dyDescent="0.35">
      <c r="B168" s="79">
        <f t="shared" si="5"/>
        <v>166</v>
      </c>
      <c r="C168" s="80" t="s">
        <v>91</v>
      </c>
      <c r="D168" s="81" t="s">
        <v>0</v>
      </c>
      <c r="E168" s="84" t="s">
        <v>1</v>
      </c>
      <c r="F168" s="85"/>
      <c r="G168" s="83"/>
      <c r="H168" s="83"/>
      <c r="I168" s="79" t="str">
        <f t="shared" si="4"/>
        <v/>
      </c>
      <c r="J168" s="84"/>
    </row>
    <row r="169" spans="2:10" x14ac:dyDescent="0.35">
      <c r="B169" s="79">
        <f t="shared" si="5"/>
        <v>167</v>
      </c>
      <c r="C169" s="80" t="s">
        <v>91</v>
      </c>
      <c r="D169" s="81" t="s">
        <v>0</v>
      </c>
      <c r="E169" s="84" t="s">
        <v>22</v>
      </c>
      <c r="F169" s="85"/>
      <c r="G169" s="83"/>
      <c r="H169" s="83"/>
      <c r="I169" s="79" t="str">
        <f t="shared" si="4"/>
        <v/>
      </c>
      <c r="J169" s="84"/>
    </row>
    <row r="170" spans="2:10" x14ac:dyDescent="0.35">
      <c r="B170" s="79">
        <f t="shared" si="5"/>
        <v>168</v>
      </c>
      <c r="C170" s="80" t="s">
        <v>91</v>
      </c>
      <c r="D170" s="81" t="s">
        <v>0</v>
      </c>
      <c r="E170" s="84" t="s">
        <v>73</v>
      </c>
      <c r="F170" s="85"/>
      <c r="G170" s="83"/>
      <c r="H170" s="83"/>
      <c r="I170" s="79" t="str">
        <f t="shared" si="4"/>
        <v/>
      </c>
      <c r="J170" s="84"/>
    </row>
    <row r="171" spans="2:10" x14ac:dyDescent="0.35">
      <c r="B171" s="79">
        <f t="shared" si="5"/>
        <v>169</v>
      </c>
      <c r="C171" s="80" t="s">
        <v>91</v>
      </c>
      <c r="D171" s="81" t="s">
        <v>0</v>
      </c>
      <c r="E171" s="84" t="s">
        <v>27</v>
      </c>
      <c r="F171" s="85"/>
      <c r="G171" s="83"/>
      <c r="H171" s="83"/>
      <c r="I171" s="79" t="str">
        <f t="shared" si="4"/>
        <v/>
      </c>
      <c r="J171" s="84"/>
    </row>
    <row r="172" spans="2:10" x14ac:dyDescent="0.35">
      <c r="B172" s="79">
        <f t="shared" si="5"/>
        <v>170</v>
      </c>
      <c r="C172" s="80" t="s">
        <v>91</v>
      </c>
      <c r="D172" s="81" t="s">
        <v>0</v>
      </c>
      <c r="E172" s="84" t="s">
        <v>28</v>
      </c>
      <c r="F172" s="85"/>
      <c r="G172" s="83"/>
      <c r="H172" s="83"/>
      <c r="I172" s="79" t="str">
        <f t="shared" si="4"/>
        <v/>
      </c>
      <c r="J172" s="84"/>
    </row>
    <row r="173" spans="2:10" x14ac:dyDescent="0.35">
      <c r="B173" s="79">
        <f t="shared" si="5"/>
        <v>171</v>
      </c>
      <c r="C173" s="80" t="s">
        <v>91</v>
      </c>
      <c r="D173" s="81" t="s">
        <v>0</v>
      </c>
      <c r="E173" s="84" t="s">
        <v>29</v>
      </c>
      <c r="F173" s="85"/>
      <c r="G173" s="83"/>
      <c r="H173" s="83"/>
      <c r="I173" s="79" t="str">
        <f t="shared" si="4"/>
        <v/>
      </c>
      <c r="J173" s="84"/>
    </row>
    <row r="174" spans="2:10" x14ac:dyDescent="0.35">
      <c r="B174" s="79">
        <f t="shared" si="5"/>
        <v>172</v>
      </c>
      <c r="C174" s="80" t="s">
        <v>91</v>
      </c>
      <c r="D174" s="81" t="s">
        <v>0</v>
      </c>
      <c r="E174" s="84" t="s">
        <v>26</v>
      </c>
      <c r="F174" s="85"/>
      <c r="G174" s="83"/>
      <c r="H174" s="83"/>
      <c r="I174" s="79" t="str">
        <f t="shared" si="4"/>
        <v/>
      </c>
      <c r="J174" s="84"/>
    </row>
    <row r="175" spans="2:10" x14ac:dyDescent="0.35">
      <c r="B175" s="79">
        <f t="shared" si="5"/>
        <v>173</v>
      </c>
      <c r="C175" s="80" t="s">
        <v>91</v>
      </c>
      <c r="D175" s="81" t="s">
        <v>0</v>
      </c>
      <c r="E175" s="84" t="s">
        <v>14</v>
      </c>
      <c r="F175" s="85"/>
      <c r="G175" s="83"/>
      <c r="H175" s="83"/>
      <c r="I175" s="79" t="str">
        <f t="shared" si="4"/>
        <v/>
      </c>
      <c r="J175" s="84"/>
    </row>
    <row r="176" spans="2:10" x14ac:dyDescent="0.35">
      <c r="B176" s="79">
        <f t="shared" si="5"/>
        <v>174</v>
      </c>
      <c r="C176" s="80"/>
      <c r="D176" s="81"/>
      <c r="E176" s="84"/>
      <c r="F176" s="85"/>
      <c r="G176" s="83"/>
      <c r="H176" s="83"/>
      <c r="I176" s="79" t="str">
        <f t="shared" si="4"/>
        <v/>
      </c>
      <c r="J176" s="84"/>
    </row>
    <row r="177" spans="2:10" x14ac:dyDescent="0.35">
      <c r="B177" s="79">
        <f t="shared" si="5"/>
        <v>175</v>
      </c>
      <c r="C177" s="80" t="s">
        <v>93</v>
      </c>
      <c r="D177" s="81" t="s">
        <v>0</v>
      </c>
      <c r="E177" s="84" t="s">
        <v>23</v>
      </c>
      <c r="F177" s="85"/>
      <c r="G177" s="83"/>
      <c r="H177" s="83"/>
      <c r="I177" s="79" t="str">
        <f t="shared" si="4"/>
        <v/>
      </c>
      <c r="J177" s="84"/>
    </row>
    <row r="178" spans="2:10" x14ac:dyDescent="0.35">
      <c r="B178" s="79">
        <f t="shared" si="5"/>
        <v>176</v>
      </c>
      <c r="C178" s="80" t="s">
        <v>93</v>
      </c>
      <c r="D178" s="81" t="s">
        <v>0</v>
      </c>
      <c r="E178" s="84" t="s">
        <v>24</v>
      </c>
      <c r="F178" s="85"/>
      <c r="G178" s="83"/>
      <c r="H178" s="83"/>
      <c r="I178" s="79" t="str">
        <f t="shared" si="4"/>
        <v/>
      </c>
      <c r="J178" s="84"/>
    </row>
    <row r="179" spans="2:10" x14ac:dyDescent="0.35">
      <c r="B179" s="79">
        <f t="shared" si="5"/>
        <v>177</v>
      </c>
      <c r="C179" s="80" t="s">
        <v>93</v>
      </c>
      <c r="D179" s="81" t="s">
        <v>0</v>
      </c>
      <c r="E179" s="84" t="s">
        <v>1</v>
      </c>
      <c r="F179" s="85"/>
      <c r="G179" s="83"/>
      <c r="H179" s="83"/>
      <c r="I179" s="79" t="str">
        <f t="shared" si="4"/>
        <v/>
      </c>
      <c r="J179" s="84"/>
    </row>
    <row r="180" spans="2:10" x14ac:dyDescent="0.35">
      <c r="B180" s="79">
        <f t="shared" si="5"/>
        <v>178</v>
      </c>
      <c r="C180" s="80" t="s">
        <v>93</v>
      </c>
      <c r="D180" s="81" t="s">
        <v>0</v>
      </c>
      <c r="E180" s="84" t="s">
        <v>22</v>
      </c>
      <c r="F180" s="85"/>
      <c r="G180" s="83"/>
      <c r="H180" s="83"/>
      <c r="I180" s="79" t="str">
        <f t="shared" si="4"/>
        <v/>
      </c>
      <c r="J180" s="84"/>
    </row>
    <row r="181" spans="2:10" x14ac:dyDescent="0.35">
      <c r="B181" s="79">
        <f t="shared" si="5"/>
        <v>179</v>
      </c>
      <c r="C181" s="80" t="s">
        <v>93</v>
      </c>
      <c r="D181" s="81" t="s">
        <v>0</v>
      </c>
      <c r="E181" s="84" t="s">
        <v>73</v>
      </c>
      <c r="F181" s="85"/>
      <c r="G181" s="83"/>
      <c r="H181" s="83"/>
      <c r="I181" s="79" t="str">
        <f t="shared" si="4"/>
        <v/>
      </c>
      <c r="J181" s="84"/>
    </row>
    <row r="182" spans="2:10" x14ac:dyDescent="0.35">
      <c r="B182" s="79">
        <f t="shared" si="5"/>
        <v>180</v>
      </c>
      <c r="C182" s="80" t="s">
        <v>93</v>
      </c>
      <c r="D182" s="81" t="s">
        <v>0</v>
      </c>
      <c r="E182" s="84" t="s">
        <v>27</v>
      </c>
      <c r="F182" s="85"/>
      <c r="G182" s="83"/>
      <c r="H182" s="83"/>
      <c r="I182" s="79" t="str">
        <f t="shared" si="4"/>
        <v/>
      </c>
      <c r="J182" s="84"/>
    </row>
    <row r="183" spans="2:10" x14ac:dyDescent="0.35">
      <c r="B183" s="79">
        <f t="shared" si="5"/>
        <v>181</v>
      </c>
      <c r="C183" s="80" t="s">
        <v>93</v>
      </c>
      <c r="D183" s="81" t="s">
        <v>0</v>
      </c>
      <c r="E183" s="84" t="s">
        <v>28</v>
      </c>
      <c r="F183" s="85"/>
      <c r="G183" s="83"/>
      <c r="H183" s="83"/>
      <c r="I183" s="79" t="str">
        <f t="shared" si="4"/>
        <v/>
      </c>
      <c r="J183" s="84"/>
    </row>
    <row r="184" spans="2:10" x14ac:dyDescent="0.35">
      <c r="B184" s="79">
        <f t="shared" si="5"/>
        <v>182</v>
      </c>
      <c r="C184" s="80" t="s">
        <v>93</v>
      </c>
      <c r="D184" s="81" t="s">
        <v>0</v>
      </c>
      <c r="E184" s="84" t="s">
        <v>29</v>
      </c>
      <c r="F184" s="85"/>
      <c r="G184" s="83"/>
      <c r="H184" s="83"/>
      <c r="I184" s="79" t="str">
        <f t="shared" si="4"/>
        <v/>
      </c>
      <c r="J184" s="84"/>
    </row>
    <row r="185" spans="2:10" x14ac:dyDescent="0.35">
      <c r="B185" s="79">
        <f t="shared" si="5"/>
        <v>183</v>
      </c>
      <c r="C185" s="80" t="s">
        <v>93</v>
      </c>
      <c r="D185" s="81" t="s">
        <v>0</v>
      </c>
      <c r="E185" s="84" t="s">
        <v>26</v>
      </c>
      <c r="F185" s="85"/>
      <c r="G185" s="83"/>
      <c r="H185" s="83"/>
      <c r="I185" s="79" t="str">
        <f t="shared" si="4"/>
        <v/>
      </c>
      <c r="J185" s="84"/>
    </row>
    <row r="186" spans="2:10" x14ac:dyDescent="0.35">
      <c r="B186" s="79">
        <f t="shared" si="5"/>
        <v>184</v>
      </c>
      <c r="C186" s="80" t="s">
        <v>93</v>
      </c>
      <c r="D186" s="81" t="s">
        <v>0</v>
      </c>
      <c r="E186" s="84" t="s">
        <v>14</v>
      </c>
      <c r="F186" s="85"/>
      <c r="G186" s="83"/>
      <c r="H186" s="83"/>
      <c r="I186" s="79" t="str">
        <f t="shared" si="4"/>
        <v/>
      </c>
      <c r="J186" s="84"/>
    </row>
    <row r="187" spans="2:10" x14ac:dyDescent="0.35">
      <c r="B187" s="79">
        <f t="shared" si="5"/>
        <v>185</v>
      </c>
      <c r="C187" s="80"/>
      <c r="D187" s="81"/>
      <c r="E187" s="84"/>
      <c r="F187" s="85"/>
      <c r="G187" s="83"/>
      <c r="H187" s="83"/>
      <c r="I187" s="79" t="str">
        <f t="shared" si="4"/>
        <v/>
      </c>
      <c r="J187" s="84"/>
    </row>
    <row r="188" spans="2:10" x14ac:dyDescent="0.35">
      <c r="B188" s="79">
        <f t="shared" si="5"/>
        <v>186</v>
      </c>
      <c r="C188" s="80" t="s">
        <v>95</v>
      </c>
      <c r="D188" s="81" t="s">
        <v>0</v>
      </c>
      <c r="E188" s="84" t="s">
        <v>23</v>
      </c>
      <c r="F188" s="85"/>
      <c r="G188" s="83"/>
      <c r="H188" s="83"/>
      <c r="I188" s="79" t="str">
        <f t="shared" si="4"/>
        <v/>
      </c>
      <c r="J188" s="84"/>
    </row>
    <row r="189" spans="2:10" x14ac:dyDescent="0.35">
      <c r="B189" s="79">
        <f t="shared" si="5"/>
        <v>187</v>
      </c>
      <c r="C189" s="80" t="s">
        <v>95</v>
      </c>
      <c r="D189" s="81" t="s">
        <v>0</v>
      </c>
      <c r="E189" s="84" t="s">
        <v>24</v>
      </c>
      <c r="F189" s="85"/>
      <c r="G189" s="83"/>
      <c r="H189" s="83"/>
      <c r="I189" s="79" t="str">
        <f t="shared" si="4"/>
        <v/>
      </c>
      <c r="J189" s="84"/>
    </row>
    <row r="190" spans="2:10" x14ac:dyDescent="0.35">
      <c r="B190" s="79">
        <f t="shared" si="5"/>
        <v>188</v>
      </c>
      <c r="C190" s="80" t="s">
        <v>95</v>
      </c>
      <c r="D190" s="81" t="s">
        <v>0</v>
      </c>
      <c r="E190" s="84" t="s">
        <v>1</v>
      </c>
      <c r="F190" s="85"/>
      <c r="G190" s="83"/>
      <c r="H190" s="83"/>
      <c r="I190" s="79" t="str">
        <f t="shared" si="4"/>
        <v/>
      </c>
      <c r="J190" s="84"/>
    </row>
    <row r="191" spans="2:10" x14ac:dyDescent="0.35">
      <c r="B191" s="79">
        <f t="shared" si="5"/>
        <v>189</v>
      </c>
      <c r="C191" s="80" t="s">
        <v>95</v>
      </c>
      <c r="D191" s="81" t="s">
        <v>0</v>
      </c>
      <c r="E191" s="84" t="s">
        <v>22</v>
      </c>
      <c r="F191" s="85"/>
      <c r="G191" s="83"/>
      <c r="H191" s="83"/>
      <c r="I191" s="79" t="str">
        <f t="shared" si="4"/>
        <v/>
      </c>
      <c r="J191" s="84"/>
    </row>
    <row r="192" spans="2:10" x14ac:dyDescent="0.35">
      <c r="B192" s="79">
        <f t="shared" si="5"/>
        <v>190</v>
      </c>
      <c r="C192" s="80" t="s">
        <v>95</v>
      </c>
      <c r="D192" s="81" t="s">
        <v>0</v>
      </c>
      <c r="E192" s="84" t="s">
        <v>73</v>
      </c>
      <c r="F192" s="85"/>
      <c r="G192" s="83"/>
      <c r="H192" s="83"/>
      <c r="I192" s="79" t="str">
        <f t="shared" si="4"/>
        <v/>
      </c>
      <c r="J192" s="84"/>
    </row>
    <row r="193" spans="2:10" x14ac:dyDescent="0.35">
      <c r="B193" s="79">
        <f t="shared" si="5"/>
        <v>191</v>
      </c>
      <c r="C193" s="80" t="s">
        <v>95</v>
      </c>
      <c r="D193" s="81" t="s">
        <v>0</v>
      </c>
      <c r="E193" s="84" t="s">
        <v>27</v>
      </c>
      <c r="F193" s="85"/>
      <c r="G193" s="83"/>
      <c r="H193" s="83"/>
      <c r="I193" s="79" t="str">
        <f t="shared" si="4"/>
        <v/>
      </c>
      <c r="J193" s="84"/>
    </row>
    <row r="194" spans="2:10" x14ac:dyDescent="0.35">
      <c r="B194" s="79">
        <f t="shared" si="5"/>
        <v>192</v>
      </c>
      <c r="C194" s="80" t="s">
        <v>95</v>
      </c>
      <c r="D194" s="81" t="s">
        <v>0</v>
      </c>
      <c r="E194" s="84" t="s">
        <v>28</v>
      </c>
      <c r="F194" s="85"/>
      <c r="G194" s="83"/>
      <c r="H194" s="83"/>
      <c r="I194" s="79" t="str">
        <f t="shared" si="4"/>
        <v/>
      </c>
      <c r="J194" s="84"/>
    </row>
    <row r="195" spans="2:10" x14ac:dyDescent="0.35">
      <c r="B195" s="79">
        <f t="shared" si="5"/>
        <v>193</v>
      </c>
      <c r="C195" s="80" t="s">
        <v>95</v>
      </c>
      <c r="D195" s="81" t="s">
        <v>0</v>
      </c>
      <c r="E195" s="84" t="s">
        <v>29</v>
      </c>
      <c r="F195" s="85"/>
      <c r="G195" s="83"/>
      <c r="H195" s="83"/>
      <c r="I195" s="79" t="str">
        <f t="shared" si="4"/>
        <v/>
      </c>
      <c r="J195" s="84"/>
    </row>
    <row r="196" spans="2:10" x14ac:dyDescent="0.35">
      <c r="B196" s="79">
        <f t="shared" si="5"/>
        <v>194</v>
      </c>
      <c r="C196" s="80" t="s">
        <v>95</v>
      </c>
      <c r="D196" s="81" t="s">
        <v>0</v>
      </c>
      <c r="E196" s="84" t="s">
        <v>26</v>
      </c>
      <c r="F196" s="85"/>
      <c r="G196" s="83"/>
      <c r="H196" s="83"/>
      <c r="I196" s="79" t="str">
        <f t="shared" ref="I196:I233" si="6">IF(G196="","",IF(H196&lt;&gt;"","PAGO","A PAGAR"))</f>
        <v/>
      </c>
      <c r="J196" s="84"/>
    </row>
    <row r="197" spans="2:10" x14ac:dyDescent="0.35">
      <c r="B197" s="79">
        <f t="shared" ref="B197:B233" si="7">B196+1</f>
        <v>195</v>
      </c>
      <c r="C197" s="80" t="s">
        <v>95</v>
      </c>
      <c r="D197" s="81" t="s">
        <v>0</v>
      </c>
      <c r="E197" s="84" t="s">
        <v>14</v>
      </c>
      <c r="F197" s="85"/>
      <c r="G197" s="83"/>
      <c r="H197" s="83"/>
      <c r="I197" s="79" t="str">
        <f t="shared" si="6"/>
        <v/>
      </c>
      <c r="J197" s="84"/>
    </row>
    <row r="198" spans="2:10" x14ac:dyDescent="0.35">
      <c r="B198" s="79">
        <f t="shared" si="7"/>
        <v>196</v>
      </c>
      <c r="C198" s="80"/>
      <c r="D198" s="81"/>
      <c r="E198" s="84"/>
      <c r="F198" s="85"/>
      <c r="G198" s="83"/>
      <c r="H198" s="83"/>
      <c r="I198" s="79" t="str">
        <f t="shared" si="6"/>
        <v/>
      </c>
      <c r="J198" s="84"/>
    </row>
    <row r="199" spans="2:10" x14ac:dyDescent="0.35">
      <c r="B199" s="79">
        <f t="shared" si="7"/>
        <v>197</v>
      </c>
      <c r="C199" s="80" t="s">
        <v>94</v>
      </c>
      <c r="D199" s="81" t="s">
        <v>16</v>
      </c>
      <c r="E199" s="84" t="s">
        <v>64</v>
      </c>
      <c r="F199" s="85"/>
      <c r="G199" s="83"/>
      <c r="H199" s="83"/>
      <c r="I199" s="79" t="str">
        <f t="shared" si="6"/>
        <v/>
      </c>
      <c r="J199" s="84"/>
    </row>
    <row r="200" spans="2:10" x14ac:dyDescent="0.35">
      <c r="B200" s="79">
        <f t="shared" si="7"/>
        <v>198</v>
      </c>
      <c r="C200" s="80" t="s">
        <v>94</v>
      </c>
      <c r="D200" s="81" t="s">
        <v>16</v>
      </c>
      <c r="E200" s="84" t="s">
        <v>65</v>
      </c>
      <c r="F200" s="85"/>
      <c r="G200" s="83"/>
      <c r="H200" s="83"/>
      <c r="I200" s="79" t="str">
        <f t="shared" si="6"/>
        <v/>
      </c>
      <c r="J200" s="84"/>
    </row>
    <row r="201" spans="2:10" x14ac:dyDescent="0.35">
      <c r="B201" s="79">
        <f t="shared" si="7"/>
        <v>199</v>
      </c>
      <c r="C201" s="80" t="s">
        <v>94</v>
      </c>
      <c r="D201" s="81" t="s">
        <v>16</v>
      </c>
      <c r="E201" s="84" t="s">
        <v>66</v>
      </c>
      <c r="F201" s="85"/>
      <c r="G201" s="83"/>
      <c r="H201" s="83"/>
      <c r="I201" s="79" t="str">
        <f t="shared" si="6"/>
        <v/>
      </c>
      <c r="J201" s="84"/>
    </row>
    <row r="202" spans="2:10" x14ac:dyDescent="0.35">
      <c r="B202" s="79">
        <f t="shared" si="7"/>
        <v>200</v>
      </c>
      <c r="C202" s="80" t="s">
        <v>94</v>
      </c>
      <c r="D202" s="81" t="s">
        <v>16</v>
      </c>
      <c r="E202" s="84" t="s">
        <v>67</v>
      </c>
      <c r="F202" s="85"/>
      <c r="G202" s="83"/>
      <c r="H202" s="83"/>
      <c r="I202" s="79" t="str">
        <f t="shared" si="6"/>
        <v/>
      </c>
      <c r="J202" s="84"/>
    </row>
    <row r="203" spans="2:10" x14ac:dyDescent="0.35">
      <c r="B203" s="79">
        <f t="shared" si="7"/>
        <v>201</v>
      </c>
      <c r="C203" s="80" t="s">
        <v>94</v>
      </c>
      <c r="D203" s="81" t="s">
        <v>16</v>
      </c>
      <c r="E203" s="84" t="s">
        <v>68</v>
      </c>
      <c r="F203" s="85"/>
      <c r="G203" s="83"/>
      <c r="H203" s="83"/>
      <c r="I203" s="79" t="str">
        <f t="shared" si="6"/>
        <v/>
      </c>
      <c r="J203" s="84"/>
    </row>
    <row r="204" spans="2:10" x14ac:dyDescent="0.35">
      <c r="B204" s="79">
        <f t="shared" si="7"/>
        <v>202</v>
      </c>
      <c r="C204" s="80" t="s">
        <v>94</v>
      </c>
      <c r="D204" s="81" t="s">
        <v>16</v>
      </c>
      <c r="E204" s="84" t="s">
        <v>56</v>
      </c>
      <c r="F204" s="85"/>
      <c r="G204" s="83"/>
      <c r="H204" s="83"/>
      <c r="I204" s="79" t="str">
        <f t="shared" si="6"/>
        <v/>
      </c>
      <c r="J204" s="84"/>
    </row>
    <row r="205" spans="2:10" x14ac:dyDescent="0.35">
      <c r="B205" s="79">
        <f t="shared" si="7"/>
        <v>203</v>
      </c>
      <c r="C205" s="80" t="s">
        <v>94</v>
      </c>
      <c r="D205" s="81" t="s">
        <v>16</v>
      </c>
      <c r="E205" s="84" t="s">
        <v>77</v>
      </c>
      <c r="F205" s="85"/>
      <c r="G205" s="83"/>
      <c r="H205" s="83"/>
      <c r="I205" s="79" t="str">
        <f t="shared" si="6"/>
        <v/>
      </c>
      <c r="J205" s="84"/>
    </row>
    <row r="206" spans="2:10" x14ac:dyDescent="0.35">
      <c r="B206" s="79">
        <f t="shared" si="7"/>
        <v>204</v>
      </c>
      <c r="C206" s="80" t="s">
        <v>94</v>
      </c>
      <c r="D206" s="81" t="s">
        <v>16</v>
      </c>
      <c r="E206" s="84" t="s">
        <v>76</v>
      </c>
      <c r="F206" s="85"/>
      <c r="G206" s="83"/>
      <c r="H206" s="83"/>
      <c r="I206" s="79" t="str">
        <f t="shared" si="6"/>
        <v/>
      </c>
      <c r="J206" s="84"/>
    </row>
    <row r="207" spans="2:10" x14ac:dyDescent="0.35">
      <c r="B207" s="79">
        <f t="shared" si="7"/>
        <v>205</v>
      </c>
      <c r="C207" s="80"/>
      <c r="D207" s="81"/>
      <c r="E207" s="84"/>
      <c r="F207" s="85"/>
      <c r="G207" s="83"/>
      <c r="H207" s="83"/>
      <c r="I207" s="79" t="str">
        <f t="shared" si="6"/>
        <v/>
      </c>
      <c r="J207" s="84"/>
    </row>
    <row r="208" spans="2:10" x14ac:dyDescent="0.35">
      <c r="B208" s="79">
        <f t="shared" si="7"/>
        <v>206</v>
      </c>
      <c r="C208" s="80" t="s">
        <v>91</v>
      </c>
      <c r="D208" s="81" t="s">
        <v>16</v>
      </c>
      <c r="E208" s="84" t="s">
        <v>64</v>
      </c>
      <c r="F208" s="85"/>
      <c r="G208" s="83"/>
      <c r="H208" s="83"/>
      <c r="I208" s="79" t="str">
        <f t="shared" si="6"/>
        <v/>
      </c>
      <c r="J208" s="84"/>
    </row>
    <row r="209" spans="2:10" x14ac:dyDescent="0.35">
      <c r="B209" s="79">
        <f t="shared" si="7"/>
        <v>207</v>
      </c>
      <c r="C209" s="80" t="s">
        <v>91</v>
      </c>
      <c r="D209" s="81" t="s">
        <v>16</v>
      </c>
      <c r="E209" s="84" t="s">
        <v>65</v>
      </c>
      <c r="F209" s="85"/>
      <c r="G209" s="83"/>
      <c r="H209" s="83"/>
      <c r="I209" s="79" t="str">
        <f t="shared" si="6"/>
        <v/>
      </c>
      <c r="J209" s="84"/>
    </row>
    <row r="210" spans="2:10" x14ac:dyDescent="0.35">
      <c r="B210" s="79">
        <f t="shared" si="7"/>
        <v>208</v>
      </c>
      <c r="C210" s="80" t="s">
        <v>91</v>
      </c>
      <c r="D210" s="81" t="s">
        <v>16</v>
      </c>
      <c r="E210" s="84" t="s">
        <v>66</v>
      </c>
      <c r="F210" s="85"/>
      <c r="G210" s="83"/>
      <c r="H210" s="83"/>
      <c r="I210" s="79" t="str">
        <f t="shared" si="6"/>
        <v/>
      </c>
      <c r="J210" s="84"/>
    </row>
    <row r="211" spans="2:10" x14ac:dyDescent="0.35">
      <c r="B211" s="79">
        <f t="shared" si="7"/>
        <v>209</v>
      </c>
      <c r="C211" s="80" t="s">
        <v>91</v>
      </c>
      <c r="D211" s="81" t="s">
        <v>16</v>
      </c>
      <c r="E211" s="84" t="s">
        <v>67</v>
      </c>
      <c r="F211" s="85"/>
      <c r="G211" s="83"/>
      <c r="H211" s="83"/>
      <c r="I211" s="79" t="str">
        <f t="shared" si="6"/>
        <v/>
      </c>
      <c r="J211" s="84"/>
    </row>
    <row r="212" spans="2:10" x14ac:dyDescent="0.35">
      <c r="B212" s="79">
        <f t="shared" si="7"/>
        <v>210</v>
      </c>
      <c r="C212" s="80" t="s">
        <v>91</v>
      </c>
      <c r="D212" s="81" t="s">
        <v>16</v>
      </c>
      <c r="E212" s="84" t="s">
        <v>68</v>
      </c>
      <c r="F212" s="85"/>
      <c r="G212" s="83"/>
      <c r="H212" s="83"/>
      <c r="I212" s="79" t="str">
        <f t="shared" si="6"/>
        <v/>
      </c>
      <c r="J212" s="84"/>
    </row>
    <row r="213" spans="2:10" x14ac:dyDescent="0.35">
      <c r="B213" s="79">
        <f t="shared" si="7"/>
        <v>211</v>
      </c>
      <c r="C213" s="80" t="s">
        <v>91</v>
      </c>
      <c r="D213" s="81" t="s">
        <v>16</v>
      </c>
      <c r="E213" s="84" t="s">
        <v>56</v>
      </c>
      <c r="F213" s="85"/>
      <c r="G213" s="83"/>
      <c r="H213" s="83"/>
      <c r="I213" s="79" t="str">
        <f t="shared" si="6"/>
        <v/>
      </c>
      <c r="J213" s="84"/>
    </row>
    <row r="214" spans="2:10" x14ac:dyDescent="0.35">
      <c r="B214" s="79">
        <f t="shared" si="7"/>
        <v>212</v>
      </c>
      <c r="C214" s="80" t="s">
        <v>91</v>
      </c>
      <c r="D214" s="81" t="s">
        <v>16</v>
      </c>
      <c r="E214" s="84" t="s">
        <v>77</v>
      </c>
      <c r="F214" s="85"/>
      <c r="G214" s="83"/>
      <c r="H214" s="83"/>
      <c r="I214" s="79" t="str">
        <f t="shared" si="6"/>
        <v/>
      </c>
      <c r="J214" s="84"/>
    </row>
    <row r="215" spans="2:10" x14ac:dyDescent="0.35">
      <c r="B215" s="79">
        <f t="shared" si="7"/>
        <v>213</v>
      </c>
      <c r="C215" s="80" t="s">
        <v>91</v>
      </c>
      <c r="D215" s="81" t="s">
        <v>16</v>
      </c>
      <c r="E215" s="84" t="s">
        <v>76</v>
      </c>
      <c r="F215" s="85"/>
      <c r="G215" s="83"/>
      <c r="H215" s="83"/>
      <c r="I215" s="79" t="str">
        <f t="shared" si="6"/>
        <v/>
      </c>
      <c r="J215" s="84"/>
    </row>
    <row r="216" spans="2:10" x14ac:dyDescent="0.35">
      <c r="B216" s="79">
        <f t="shared" si="7"/>
        <v>214</v>
      </c>
      <c r="C216" s="80"/>
      <c r="D216" s="81"/>
      <c r="E216" s="84"/>
      <c r="F216" s="85"/>
      <c r="G216" s="83"/>
      <c r="H216" s="83"/>
      <c r="I216" s="79" t="str">
        <f t="shared" si="6"/>
        <v/>
      </c>
      <c r="J216" s="84"/>
    </row>
    <row r="217" spans="2:10" x14ac:dyDescent="0.35">
      <c r="B217" s="79">
        <f t="shared" si="7"/>
        <v>215</v>
      </c>
      <c r="C217" s="80" t="s">
        <v>93</v>
      </c>
      <c r="D217" s="81" t="s">
        <v>16</v>
      </c>
      <c r="E217" s="84" t="s">
        <v>64</v>
      </c>
      <c r="F217" s="85"/>
      <c r="G217" s="83"/>
      <c r="H217" s="83"/>
      <c r="I217" s="79" t="str">
        <f t="shared" si="6"/>
        <v/>
      </c>
      <c r="J217" s="84"/>
    </row>
    <row r="218" spans="2:10" x14ac:dyDescent="0.35">
      <c r="B218" s="79">
        <f t="shared" si="7"/>
        <v>216</v>
      </c>
      <c r="C218" s="80" t="s">
        <v>93</v>
      </c>
      <c r="D218" s="81" t="s">
        <v>16</v>
      </c>
      <c r="E218" s="84" t="s">
        <v>65</v>
      </c>
      <c r="F218" s="85"/>
      <c r="G218" s="83"/>
      <c r="H218" s="83"/>
      <c r="I218" s="79" t="str">
        <f t="shared" si="6"/>
        <v/>
      </c>
      <c r="J218" s="84"/>
    </row>
    <row r="219" spans="2:10" x14ac:dyDescent="0.35">
      <c r="B219" s="79">
        <f t="shared" si="7"/>
        <v>217</v>
      </c>
      <c r="C219" s="80" t="s">
        <v>93</v>
      </c>
      <c r="D219" s="81" t="s">
        <v>16</v>
      </c>
      <c r="E219" s="84" t="s">
        <v>66</v>
      </c>
      <c r="F219" s="85"/>
      <c r="G219" s="83"/>
      <c r="H219" s="83"/>
      <c r="I219" s="79" t="str">
        <f t="shared" si="6"/>
        <v/>
      </c>
      <c r="J219" s="84"/>
    </row>
    <row r="220" spans="2:10" x14ac:dyDescent="0.35">
      <c r="B220" s="79">
        <f t="shared" si="7"/>
        <v>218</v>
      </c>
      <c r="C220" s="80" t="s">
        <v>93</v>
      </c>
      <c r="D220" s="81" t="s">
        <v>16</v>
      </c>
      <c r="E220" s="84" t="s">
        <v>67</v>
      </c>
      <c r="F220" s="85"/>
      <c r="G220" s="83"/>
      <c r="H220" s="83"/>
      <c r="I220" s="79" t="str">
        <f t="shared" si="6"/>
        <v/>
      </c>
      <c r="J220" s="84"/>
    </row>
    <row r="221" spans="2:10" x14ac:dyDescent="0.35">
      <c r="B221" s="79">
        <f t="shared" si="7"/>
        <v>219</v>
      </c>
      <c r="C221" s="80" t="s">
        <v>93</v>
      </c>
      <c r="D221" s="81" t="s">
        <v>16</v>
      </c>
      <c r="E221" s="84" t="s">
        <v>68</v>
      </c>
      <c r="F221" s="85"/>
      <c r="G221" s="83"/>
      <c r="H221" s="83"/>
      <c r="I221" s="79" t="str">
        <f t="shared" si="6"/>
        <v/>
      </c>
      <c r="J221" s="84"/>
    </row>
    <row r="222" spans="2:10" x14ac:dyDescent="0.35">
      <c r="B222" s="79">
        <f t="shared" si="7"/>
        <v>220</v>
      </c>
      <c r="C222" s="80" t="s">
        <v>93</v>
      </c>
      <c r="D222" s="81" t="s">
        <v>16</v>
      </c>
      <c r="E222" s="84" t="s">
        <v>56</v>
      </c>
      <c r="F222" s="85"/>
      <c r="G222" s="83"/>
      <c r="H222" s="83"/>
      <c r="I222" s="79" t="str">
        <f t="shared" si="6"/>
        <v/>
      </c>
      <c r="J222" s="84"/>
    </row>
    <row r="223" spans="2:10" x14ac:dyDescent="0.35">
      <c r="B223" s="79">
        <f t="shared" si="7"/>
        <v>221</v>
      </c>
      <c r="C223" s="80" t="s">
        <v>93</v>
      </c>
      <c r="D223" s="81" t="s">
        <v>16</v>
      </c>
      <c r="E223" s="84" t="s">
        <v>77</v>
      </c>
      <c r="F223" s="85"/>
      <c r="G223" s="83"/>
      <c r="H223" s="83"/>
      <c r="I223" s="79" t="str">
        <f t="shared" si="6"/>
        <v/>
      </c>
      <c r="J223" s="84"/>
    </row>
    <row r="224" spans="2:10" x14ac:dyDescent="0.35">
      <c r="B224" s="79">
        <f t="shared" si="7"/>
        <v>222</v>
      </c>
      <c r="C224" s="80" t="s">
        <v>93</v>
      </c>
      <c r="D224" s="81" t="s">
        <v>16</v>
      </c>
      <c r="E224" s="84" t="s">
        <v>76</v>
      </c>
      <c r="F224" s="85"/>
      <c r="G224" s="83"/>
      <c r="H224" s="83"/>
      <c r="I224" s="79" t="str">
        <f t="shared" si="6"/>
        <v/>
      </c>
      <c r="J224" s="84"/>
    </row>
    <row r="225" spans="2:10" x14ac:dyDescent="0.35">
      <c r="B225" s="79">
        <f t="shared" si="7"/>
        <v>223</v>
      </c>
      <c r="C225" s="80"/>
      <c r="D225" s="81"/>
      <c r="E225" s="84"/>
      <c r="F225" s="85"/>
      <c r="G225" s="83"/>
      <c r="H225" s="83"/>
      <c r="I225" s="79" t="str">
        <f t="shared" si="6"/>
        <v/>
      </c>
      <c r="J225" s="84"/>
    </row>
    <row r="226" spans="2:10" x14ac:dyDescent="0.35">
      <c r="B226" s="79">
        <f t="shared" si="7"/>
        <v>224</v>
      </c>
      <c r="C226" s="80" t="s">
        <v>95</v>
      </c>
      <c r="D226" s="81" t="s">
        <v>16</v>
      </c>
      <c r="E226" s="84" t="s">
        <v>64</v>
      </c>
      <c r="F226" s="85"/>
      <c r="G226" s="83"/>
      <c r="H226" s="83"/>
      <c r="I226" s="79" t="str">
        <f t="shared" si="6"/>
        <v/>
      </c>
      <c r="J226" s="84"/>
    </row>
    <row r="227" spans="2:10" x14ac:dyDescent="0.35">
      <c r="B227" s="79">
        <f t="shared" si="7"/>
        <v>225</v>
      </c>
      <c r="C227" s="80" t="s">
        <v>95</v>
      </c>
      <c r="D227" s="81" t="s">
        <v>16</v>
      </c>
      <c r="E227" s="84" t="s">
        <v>65</v>
      </c>
      <c r="F227" s="85"/>
      <c r="G227" s="83"/>
      <c r="H227" s="83"/>
      <c r="I227" s="79" t="str">
        <f t="shared" si="6"/>
        <v/>
      </c>
      <c r="J227" s="84"/>
    </row>
    <row r="228" spans="2:10" x14ac:dyDescent="0.35">
      <c r="B228" s="79">
        <f t="shared" si="7"/>
        <v>226</v>
      </c>
      <c r="C228" s="80" t="s">
        <v>95</v>
      </c>
      <c r="D228" s="81" t="s">
        <v>16</v>
      </c>
      <c r="E228" s="84" t="s">
        <v>66</v>
      </c>
      <c r="F228" s="85"/>
      <c r="G228" s="83"/>
      <c r="H228" s="83"/>
      <c r="I228" s="79" t="str">
        <f t="shared" si="6"/>
        <v/>
      </c>
      <c r="J228" s="84"/>
    </row>
    <row r="229" spans="2:10" x14ac:dyDescent="0.35">
      <c r="B229" s="79">
        <f t="shared" si="7"/>
        <v>227</v>
      </c>
      <c r="C229" s="80" t="s">
        <v>95</v>
      </c>
      <c r="D229" s="81" t="s">
        <v>16</v>
      </c>
      <c r="E229" s="84" t="s">
        <v>67</v>
      </c>
      <c r="F229" s="85"/>
      <c r="G229" s="83"/>
      <c r="H229" s="83"/>
      <c r="I229" s="79" t="str">
        <f t="shared" si="6"/>
        <v/>
      </c>
      <c r="J229" s="84"/>
    </row>
    <row r="230" spans="2:10" x14ac:dyDescent="0.35">
      <c r="B230" s="79">
        <f t="shared" si="7"/>
        <v>228</v>
      </c>
      <c r="C230" s="80" t="s">
        <v>95</v>
      </c>
      <c r="D230" s="81" t="s">
        <v>16</v>
      </c>
      <c r="E230" s="84" t="s">
        <v>68</v>
      </c>
      <c r="F230" s="85"/>
      <c r="G230" s="83"/>
      <c r="H230" s="83"/>
      <c r="I230" s="79" t="str">
        <f t="shared" si="6"/>
        <v/>
      </c>
      <c r="J230" s="84"/>
    </row>
    <row r="231" spans="2:10" x14ac:dyDescent="0.35">
      <c r="B231" s="79">
        <f t="shared" si="7"/>
        <v>229</v>
      </c>
      <c r="C231" s="80" t="s">
        <v>95</v>
      </c>
      <c r="D231" s="81" t="s">
        <v>16</v>
      </c>
      <c r="E231" s="84" t="s">
        <v>56</v>
      </c>
      <c r="F231" s="85"/>
      <c r="G231" s="83"/>
      <c r="H231" s="83"/>
      <c r="I231" s="79" t="str">
        <f t="shared" si="6"/>
        <v/>
      </c>
      <c r="J231" s="84"/>
    </row>
    <row r="232" spans="2:10" x14ac:dyDescent="0.35">
      <c r="B232" s="79">
        <f t="shared" si="7"/>
        <v>230</v>
      </c>
      <c r="C232" s="80" t="s">
        <v>95</v>
      </c>
      <c r="D232" s="81" t="s">
        <v>16</v>
      </c>
      <c r="E232" s="84" t="s">
        <v>77</v>
      </c>
      <c r="F232" s="85"/>
      <c r="G232" s="83"/>
      <c r="H232" s="83"/>
      <c r="I232" s="79" t="str">
        <f t="shared" si="6"/>
        <v/>
      </c>
      <c r="J232" s="84"/>
    </row>
    <row r="233" spans="2:10" x14ac:dyDescent="0.35">
      <c r="B233" s="79">
        <f t="shared" si="7"/>
        <v>231</v>
      </c>
      <c r="C233" s="80" t="s">
        <v>95</v>
      </c>
      <c r="D233" s="81" t="s">
        <v>16</v>
      </c>
      <c r="E233" s="84" t="s">
        <v>76</v>
      </c>
      <c r="F233" s="85"/>
      <c r="G233" s="83"/>
      <c r="H233" s="83"/>
      <c r="I233" s="79" t="str">
        <f t="shared" si="6"/>
        <v/>
      </c>
      <c r="J233" s="84"/>
    </row>
    <row r="234" spans="2:10" x14ac:dyDescent="0.35">
      <c r="G234" s="77"/>
      <c r="H234" s="77"/>
      <c r="I234" s="75" t="str">
        <f t="shared" ref="I234:I245" si="8">IF(G234="","",IF(H234&lt;&gt;"","PAGO","A PAGAR"))</f>
        <v/>
      </c>
    </row>
    <row r="235" spans="2:10" x14ac:dyDescent="0.35">
      <c r="G235" s="77"/>
      <c r="H235" s="77"/>
      <c r="I235" s="75" t="str">
        <f t="shared" si="8"/>
        <v/>
      </c>
    </row>
    <row r="236" spans="2:10" x14ac:dyDescent="0.35">
      <c r="G236" s="77"/>
      <c r="H236" s="77"/>
      <c r="I236" s="75" t="str">
        <f t="shared" si="8"/>
        <v/>
      </c>
    </row>
    <row r="237" spans="2:10" x14ac:dyDescent="0.35">
      <c r="G237" s="77"/>
      <c r="H237" s="77"/>
      <c r="I237" s="75" t="str">
        <f t="shared" si="8"/>
        <v/>
      </c>
    </row>
    <row r="238" spans="2:10" x14ac:dyDescent="0.35">
      <c r="G238" s="77"/>
      <c r="H238" s="77"/>
      <c r="I238" s="75" t="str">
        <f t="shared" si="8"/>
        <v/>
      </c>
    </row>
    <row r="239" spans="2:10" x14ac:dyDescent="0.35">
      <c r="G239" s="77"/>
      <c r="H239" s="77"/>
      <c r="I239" s="75" t="str">
        <f t="shared" si="8"/>
        <v/>
      </c>
    </row>
    <row r="240" spans="2:10" x14ac:dyDescent="0.35">
      <c r="G240" s="77"/>
      <c r="H240" s="77"/>
      <c r="I240" s="75" t="str">
        <f t="shared" si="8"/>
        <v/>
      </c>
    </row>
    <row r="241" spans="7:9" x14ac:dyDescent="0.35">
      <c r="G241" s="77"/>
      <c r="H241" s="77"/>
      <c r="I241" s="75" t="str">
        <f t="shared" si="8"/>
        <v/>
      </c>
    </row>
    <row r="242" spans="7:9" x14ac:dyDescent="0.35">
      <c r="G242" s="77"/>
      <c r="H242" s="77"/>
      <c r="I242" s="75" t="str">
        <f t="shared" si="8"/>
        <v/>
      </c>
    </row>
    <row r="243" spans="7:9" x14ac:dyDescent="0.35">
      <c r="G243" s="77"/>
      <c r="H243" s="77"/>
      <c r="I243" s="75" t="str">
        <f t="shared" si="8"/>
        <v/>
      </c>
    </row>
    <row r="244" spans="7:9" x14ac:dyDescent="0.35">
      <c r="G244" s="77"/>
      <c r="H244" s="77"/>
      <c r="I244" s="75" t="str">
        <f t="shared" si="8"/>
        <v/>
      </c>
    </row>
    <row r="245" spans="7:9" x14ac:dyDescent="0.35">
      <c r="G245" s="77"/>
      <c r="H245" s="77"/>
      <c r="I245" s="75" t="str">
        <f t="shared" si="8"/>
        <v/>
      </c>
    </row>
    <row r="246" spans="7:9" x14ac:dyDescent="0.35">
      <c r="G246" s="77"/>
      <c r="H246" s="77"/>
    </row>
    <row r="247" spans="7:9" x14ac:dyDescent="0.35">
      <c r="G247" s="77"/>
      <c r="H247" s="77"/>
    </row>
    <row r="248" spans="7:9" x14ac:dyDescent="0.35">
      <c r="G248" s="77"/>
      <c r="H248" s="77"/>
    </row>
    <row r="249" spans="7:9" x14ac:dyDescent="0.35">
      <c r="G249" s="77"/>
      <c r="H249" s="77"/>
    </row>
    <row r="250" spans="7:9" x14ac:dyDescent="0.35">
      <c r="G250" s="77"/>
      <c r="H250" s="77"/>
    </row>
    <row r="251" spans="7:9" x14ac:dyDescent="0.35">
      <c r="G251" s="77"/>
      <c r="H251" s="77"/>
    </row>
    <row r="252" spans="7:9" x14ac:dyDescent="0.35">
      <c r="G252" s="77"/>
      <c r="H252" s="77"/>
    </row>
    <row r="253" spans="7:9" x14ac:dyDescent="0.35">
      <c r="G253" s="77"/>
      <c r="H253" s="77"/>
    </row>
    <row r="254" spans="7:9" x14ac:dyDescent="0.35">
      <c r="G254" s="77"/>
      <c r="H254" s="77"/>
    </row>
    <row r="255" spans="7:9" x14ac:dyDescent="0.35">
      <c r="G255" s="77"/>
      <c r="H255" s="77"/>
    </row>
    <row r="256" spans="7:9" x14ac:dyDescent="0.35">
      <c r="G256" s="77"/>
      <c r="H256" s="77"/>
    </row>
    <row r="257" spans="7:8" x14ac:dyDescent="0.35">
      <c r="G257" s="77"/>
      <c r="H257" s="77"/>
    </row>
    <row r="258" spans="7:8" x14ac:dyDescent="0.35">
      <c r="G258" s="77"/>
      <c r="H258" s="77"/>
    </row>
    <row r="259" spans="7:8" x14ac:dyDescent="0.35">
      <c r="G259" s="77"/>
      <c r="H259" s="77"/>
    </row>
    <row r="260" spans="7:8" x14ac:dyDescent="0.35">
      <c r="G260" s="77"/>
      <c r="H260" s="77"/>
    </row>
    <row r="261" spans="7:8" x14ac:dyDescent="0.35">
      <c r="G261" s="77"/>
      <c r="H261" s="77"/>
    </row>
    <row r="262" spans="7:8" x14ac:dyDescent="0.35">
      <c r="G262" s="77"/>
      <c r="H262" s="77"/>
    </row>
    <row r="263" spans="7:8" x14ac:dyDescent="0.35">
      <c r="G263" s="77"/>
      <c r="H263" s="77"/>
    </row>
    <row r="264" spans="7:8" x14ac:dyDescent="0.35">
      <c r="G264" s="77"/>
      <c r="H264" s="77"/>
    </row>
    <row r="265" spans="7:8" x14ac:dyDescent="0.35">
      <c r="G265" s="77"/>
      <c r="H265" s="77"/>
    </row>
    <row r="266" spans="7:8" x14ac:dyDescent="0.35">
      <c r="G266" s="77"/>
      <c r="H266" s="77"/>
    </row>
    <row r="267" spans="7:8" x14ac:dyDescent="0.35">
      <c r="G267" s="77"/>
      <c r="H267" s="77"/>
    </row>
    <row r="268" spans="7:8" x14ac:dyDescent="0.35">
      <c r="G268" s="77"/>
      <c r="H268" s="77"/>
    </row>
    <row r="269" spans="7:8" x14ac:dyDescent="0.35">
      <c r="G269" s="77"/>
      <c r="H269" s="77"/>
    </row>
    <row r="270" spans="7:8" x14ac:dyDescent="0.35">
      <c r="G270" s="77"/>
      <c r="H270" s="77"/>
    </row>
    <row r="271" spans="7:8" x14ac:dyDescent="0.35">
      <c r="G271" s="77"/>
      <c r="H271" s="77"/>
    </row>
    <row r="272" spans="7:8" x14ac:dyDescent="0.35">
      <c r="G272" s="77"/>
      <c r="H272" s="77"/>
    </row>
    <row r="273" spans="7:8" x14ac:dyDescent="0.35">
      <c r="G273" s="77"/>
      <c r="H273" s="77"/>
    </row>
    <row r="274" spans="7:8" x14ac:dyDescent="0.35">
      <c r="G274" s="77"/>
      <c r="H274" s="77"/>
    </row>
    <row r="275" spans="7:8" x14ac:dyDescent="0.35">
      <c r="G275" s="77"/>
      <c r="H275" s="77"/>
    </row>
    <row r="276" spans="7:8" x14ac:dyDescent="0.35">
      <c r="G276" s="77"/>
      <c r="H276" s="77"/>
    </row>
    <row r="277" spans="7:8" x14ac:dyDescent="0.35">
      <c r="G277" s="77"/>
      <c r="H277" s="77"/>
    </row>
    <row r="278" spans="7:8" x14ac:dyDescent="0.35">
      <c r="G278" s="77"/>
      <c r="H278" s="77"/>
    </row>
    <row r="279" spans="7:8" x14ac:dyDescent="0.35">
      <c r="G279" s="77"/>
      <c r="H279" s="77"/>
    </row>
    <row r="280" spans="7:8" x14ac:dyDescent="0.35">
      <c r="G280" s="77"/>
      <c r="H280" s="77"/>
    </row>
    <row r="281" spans="7:8" x14ac:dyDescent="0.35">
      <c r="G281" s="77"/>
      <c r="H281" s="77"/>
    </row>
    <row r="282" spans="7:8" x14ac:dyDescent="0.35">
      <c r="G282" s="77"/>
      <c r="H282" s="77"/>
    </row>
    <row r="283" spans="7:8" x14ac:dyDescent="0.35">
      <c r="G283" s="77"/>
      <c r="H283" s="77"/>
    </row>
    <row r="284" spans="7:8" x14ac:dyDescent="0.35">
      <c r="G284" s="77"/>
      <c r="H284" s="77"/>
    </row>
    <row r="285" spans="7:8" x14ac:dyDescent="0.35">
      <c r="G285" s="77"/>
      <c r="H285" s="77"/>
    </row>
    <row r="286" spans="7:8" x14ac:dyDescent="0.35">
      <c r="G286" s="77"/>
      <c r="H286" s="77"/>
    </row>
    <row r="287" spans="7:8" x14ac:dyDescent="0.35">
      <c r="G287" s="77"/>
      <c r="H287" s="77"/>
    </row>
    <row r="288" spans="7:8" x14ac:dyDescent="0.35">
      <c r="G288" s="77"/>
      <c r="H288" s="77"/>
    </row>
    <row r="289" spans="7:8" x14ac:dyDescent="0.35">
      <c r="G289" s="77"/>
      <c r="H289" s="77"/>
    </row>
    <row r="290" spans="7:8" x14ac:dyDescent="0.35">
      <c r="G290" s="77"/>
      <c r="H290" s="77"/>
    </row>
    <row r="291" spans="7:8" x14ac:dyDescent="0.35">
      <c r="G291" s="77"/>
      <c r="H291" s="77"/>
    </row>
    <row r="292" spans="7:8" x14ac:dyDescent="0.35">
      <c r="G292" s="77"/>
      <c r="H292" s="77"/>
    </row>
    <row r="293" spans="7:8" x14ac:dyDescent="0.35">
      <c r="G293" s="77"/>
      <c r="H293" s="77"/>
    </row>
    <row r="294" spans="7:8" x14ac:dyDescent="0.35">
      <c r="G294" s="77"/>
      <c r="H294" s="77"/>
    </row>
    <row r="295" spans="7:8" x14ac:dyDescent="0.35">
      <c r="G295" s="77"/>
      <c r="H295" s="77"/>
    </row>
    <row r="296" spans="7:8" x14ac:dyDescent="0.35">
      <c r="G296" s="77"/>
      <c r="H296" s="77"/>
    </row>
    <row r="297" spans="7:8" x14ac:dyDescent="0.35">
      <c r="G297" s="77"/>
      <c r="H297" s="77"/>
    </row>
    <row r="298" spans="7:8" x14ac:dyDescent="0.35">
      <c r="G298" s="77"/>
      <c r="H298" s="77"/>
    </row>
    <row r="299" spans="7:8" x14ac:dyDescent="0.35">
      <c r="G299" s="77"/>
      <c r="H299" s="77"/>
    </row>
    <row r="300" spans="7:8" x14ac:dyDescent="0.35">
      <c r="G300" s="77"/>
      <c r="H300" s="77"/>
    </row>
    <row r="301" spans="7:8" x14ac:dyDescent="0.35">
      <c r="G301" s="77"/>
      <c r="H301" s="77"/>
    </row>
    <row r="302" spans="7:8" x14ac:dyDescent="0.35">
      <c r="G302" s="77"/>
      <c r="H302" s="77"/>
    </row>
    <row r="303" spans="7:8" x14ac:dyDescent="0.35">
      <c r="G303" s="77"/>
      <c r="H303" s="77"/>
    </row>
    <row r="304" spans="7:8" x14ac:dyDescent="0.35">
      <c r="G304" s="77"/>
      <c r="H304" s="77"/>
    </row>
    <row r="305" spans="7:8" x14ac:dyDescent="0.35">
      <c r="G305" s="77"/>
      <c r="H305" s="77"/>
    </row>
    <row r="306" spans="7:8" x14ac:dyDescent="0.35">
      <c r="G306" s="77"/>
      <c r="H306" s="77"/>
    </row>
    <row r="307" spans="7:8" x14ac:dyDescent="0.35">
      <c r="G307" s="77"/>
      <c r="H307" s="77"/>
    </row>
    <row r="308" spans="7:8" x14ac:dyDescent="0.35">
      <c r="G308" s="77"/>
      <c r="H308" s="77"/>
    </row>
    <row r="309" spans="7:8" x14ac:dyDescent="0.35">
      <c r="G309" s="77"/>
      <c r="H309" s="77"/>
    </row>
    <row r="310" spans="7:8" x14ac:dyDescent="0.35">
      <c r="G310" s="77"/>
      <c r="H310" s="77"/>
    </row>
    <row r="311" spans="7:8" x14ac:dyDescent="0.35">
      <c r="G311" s="77"/>
      <c r="H311" s="77"/>
    </row>
    <row r="312" spans="7:8" x14ac:dyDescent="0.35">
      <c r="G312" s="77"/>
      <c r="H312" s="77"/>
    </row>
    <row r="313" spans="7:8" x14ac:dyDescent="0.35">
      <c r="G313" s="77"/>
      <c r="H313" s="77"/>
    </row>
    <row r="314" spans="7:8" x14ac:dyDescent="0.35">
      <c r="G314" s="77"/>
      <c r="H314" s="77"/>
    </row>
    <row r="315" spans="7:8" x14ac:dyDescent="0.35">
      <c r="G315" s="77"/>
      <c r="H315" s="77"/>
    </row>
    <row r="316" spans="7:8" x14ac:dyDescent="0.35">
      <c r="G316" s="77"/>
      <c r="H316" s="77"/>
    </row>
    <row r="317" spans="7:8" x14ac:dyDescent="0.35">
      <c r="G317" s="77"/>
      <c r="H317" s="77"/>
    </row>
    <row r="318" spans="7:8" x14ac:dyDescent="0.35">
      <c r="G318" s="77"/>
      <c r="H318" s="77"/>
    </row>
    <row r="319" spans="7:8" x14ac:dyDescent="0.35">
      <c r="G319" s="77"/>
      <c r="H319" s="77"/>
    </row>
    <row r="320" spans="7:8" x14ac:dyDescent="0.35">
      <c r="G320" s="77"/>
      <c r="H320" s="77"/>
    </row>
    <row r="321" spans="7:8" x14ac:dyDescent="0.35">
      <c r="G321" s="77"/>
      <c r="H321" s="77"/>
    </row>
    <row r="322" spans="7:8" x14ac:dyDescent="0.35">
      <c r="G322" s="77"/>
      <c r="H322" s="77"/>
    </row>
    <row r="323" spans="7:8" x14ac:dyDescent="0.35">
      <c r="G323" s="77"/>
      <c r="H323" s="77"/>
    </row>
    <row r="324" spans="7:8" x14ac:dyDescent="0.35">
      <c r="G324" s="77"/>
      <c r="H324" s="77"/>
    </row>
    <row r="325" spans="7:8" x14ac:dyDescent="0.35">
      <c r="G325" s="77"/>
      <c r="H325" s="77"/>
    </row>
    <row r="326" spans="7:8" x14ac:dyDescent="0.35">
      <c r="G326" s="77"/>
      <c r="H326" s="77"/>
    </row>
    <row r="327" spans="7:8" x14ac:dyDescent="0.35">
      <c r="G327" s="77"/>
      <c r="H327" s="77"/>
    </row>
    <row r="328" spans="7:8" x14ac:dyDescent="0.35">
      <c r="G328" s="77"/>
      <c r="H328" s="77"/>
    </row>
    <row r="329" spans="7:8" x14ac:dyDescent="0.35">
      <c r="G329" s="77"/>
      <c r="H329" s="77"/>
    </row>
    <row r="330" spans="7:8" x14ac:dyDescent="0.35">
      <c r="G330" s="77"/>
      <c r="H330" s="77"/>
    </row>
    <row r="331" spans="7:8" x14ac:dyDescent="0.35">
      <c r="G331" s="77"/>
      <c r="H331" s="77"/>
    </row>
    <row r="332" spans="7:8" x14ac:dyDescent="0.35">
      <c r="G332" s="77"/>
      <c r="H332" s="77"/>
    </row>
    <row r="333" spans="7:8" x14ac:dyDescent="0.35">
      <c r="G333" s="77"/>
      <c r="H333" s="77"/>
    </row>
    <row r="334" spans="7:8" x14ac:dyDescent="0.35">
      <c r="G334" s="77"/>
      <c r="H334" s="77"/>
    </row>
    <row r="335" spans="7:8" x14ac:dyDescent="0.35">
      <c r="G335" s="77"/>
      <c r="H335" s="77"/>
    </row>
    <row r="336" spans="7:8" x14ac:dyDescent="0.35">
      <c r="G336" s="77"/>
      <c r="H336" s="77"/>
    </row>
    <row r="337" spans="7:8" x14ac:dyDescent="0.35">
      <c r="G337" s="77"/>
      <c r="H337" s="77"/>
    </row>
    <row r="338" spans="7:8" x14ac:dyDescent="0.35">
      <c r="G338" s="77"/>
      <c r="H338" s="77"/>
    </row>
    <row r="339" spans="7:8" x14ac:dyDescent="0.35">
      <c r="G339" s="77"/>
      <c r="H339" s="77"/>
    </row>
    <row r="340" spans="7:8" x14ac:dyDescent="0.35">
      <c r="G340" s="77"/>
      <c r="H340" s="77"/>
    </row>
    <row r="341" spans="7:8" x14ac:dyDescent="0.35">
      <c r="G341" s="77"/>
      <c r="H341" s="77"/>
    </row>
    <row r="342" spans="7:8" x14ac:dyDescent="0.35">
      <c r="G342" s="77"/>
      <c r="H342" s="77"/>
    </row>
    <row r="343" spans="7:8" x14ac:dyDescent="0.35">
      <c r="G343" s="77"/>
      <c r="H343" s="77"/>
    </row>
    <row r="344" spans="7:8" x14ac:dyDescent="0.35">
      <c r="G344" s="77"/>
      <c r="H344" s="77"/>
    </row>
    <row r="345" spans="7:8" x14ac:dyDescent="0.35">
      <c r="G345" s="77"/>
      <c r="H345" s="77"/>
    </row>
    <row r="346" spans="7:8" x14ac:dyDescent="0.35">
      <c r="G346" s="77"/>
      <c r="H346" s="77"/>
    </row>
    <row r="347" spans="7:8" x14ac:dyDescent="0.35">
      <c r="G347" s="77"/>
      <c r="H347" s="77"/>
    </row>
    <row r="348" spans="7:8" x14ac:dyDescent="0.35">
      <c r="G348" s="77"/>
      <c r="H348" s="77"/>
    </row>
    <row r="349" spans="7:8" x14ac:dyDescent="0.35">
      <c r="G349" s="77"/>
      <c r="H349" s="77"/>
    </row>
    <row r="350" spans="7:8" x14ac:dyDescent="0.35">
      <c r="G350" s="77"/>
      <c r="H350" s="77"/>
    </row>
    <row r="351" spans="7:8" x14ac:dyDescent="0.35">
      <c r="G351" s="77"/>
      <c r="H351" s="77"/>
    </row>
    <row r="352" spans="7:8" x14ac:dyDescent="0.35">
      <c r="G352" s="77"/>
      <c r="H352" s="77"/>
    </row>
    <row r="353" spans="7:8" x14ac:dyDescent="0.35">
      <c r="G353" s="77"/>
      <c r="H353" s="77"/>
    </row>
    <row r="354" spans="7:8" x14ac:dyDescent="0.35">
      <c r="G354" s="77"/>
      <c r="H354" s="77"/>
    </row>
    <row r="355" spans="7:8" x14ac:dyDescent="0.35">
      <c r="G355" s="77"/>
      <c r="H355" s="77"/>
    </row>
    <row r="356" spans="7:8" x14ac:dyDescent="0.35">
      <c r="G356" s="77"/>
      <c r="H356" s="77"/>
    </row>
    <row r="357" spans="7:8" x14ac:dyDescent="0.35">
      <c r="G357" s="77"/>
      <c r="H357" s="77"/>
    </row>
    <row r="358" spans="7:8" x14ac:dyDescent="0.35">
      <c r="G358" s="77"/>
      <c r="H358" s="77"/>
    </row>
    <row r="359" spans="7:8" x14ac:dyDescent="0.35">
      <c r="G359" s="77"/>
      <c r="H359" s="77"/>
    </row>
    <row r="360" spans="7:8" x14ac:dyDescent="0.35">
      <c r="G360" s="77"/>
      <c r="H360" s="77"/>
    </row>
    <row r="361" spans="7:8" x14ac:dyDescent="0.35">
      <c r="G361" s="77"/>
      <c r="H361" s="77"/>
    </row>
    <row r="362" spans="7:8" x14ac:dyDescent="0.35">
      <c r="G362" s="77"/>
      <c r="H362" s="77"/>
    </row>
    <row r="363" spans="7:8" x14ac:dyDescent="0.35">
      <c r="G363" s="77"/>
      <c r="H363" s="77"/>
    </row>
    <row r="364" spans="7:8" x14ac:dyDescent="0.35">
      <c r="G364" s="77"/>
      <c r="H364" s="77"/>
    </row>
    <row r="365" spans="7:8" x14ac:dyDescent="0.35">
      <c r="G365" s="77"/>
      <c r="H365" s="77"/>
    </row>
    <row r="366" spans="7:8" x14ac:dyDescent="0.35">
      <c r="G366" s="77"/>
      <c r="H366" s="77"/>
    </row>
    <row r="367" spans="7:8" x14ac:dyDescent="0.35">
      <c r="G367" s="77"/>
      <c r="H367" s="77"/>
    </row>
    <row r="368" spans="7:8" x14ac:dyDescent="0.35">
      <c r="G368" s="77"/>
      <c r="H368" s="77"/>
    </row>
    <row r="369" spans="7:8" x14ac:dyDescent="0.35">
      <c r="G369" s="77"/>
      <c r="H369" s="77"/>
    </row>
    <row r="370" spans="7:8" x14ac:dyDescent="0.35">
      <c r="G370" s="77"/>
      <c r="H370" s="77"/>
    </row>
    <row r="371" spans="7:8" x14ac:dyDescent="0.35">
      <c r="G371" s="77"/>
      <c r="H371" s="77"/>
    </row>
    <row r="372" spans="7:8" x14ac:dyDescent="0.35">
      <c r="G372" s="77"/>
      <c r="H372" s="77"/>
    </row>
    <row r="373" spans="7:8" x14ac:dyDescent="0.35">
      <c r="G373" s="77"/>
      <c r="H373" s="77"/>
    </row>
    <row r="374" spans="7:8" x14ac:dyDescent="0.35">
      <c r="G374" s="77"/>
      <c r="H374" s="77"/>
    </row>
    <row r="375" spans="7:8" x14ac:dyDescent="0.35">
      <c r="G375" s="77"/>
      <c r="H375" s="77"/>
    </row>
    <row r="376" spans="7:8" x14ac:dyDescent="0.35">
      <c r="G376" s="77"/>
      <c r="H376" s="77"/>
    </row>
    <row r="377" spans="7:8" x14ac:dyDescent="0.35">
      <c r="G377" s="77"/>
      <c r="H377" s="77"/>
    </row>
    <row r="378" spans="7:8" x14ac:dyDescent="0.35">
      <c r="G378" s="77"/>
      <c r="H378" s="77"/>
    </row>
    <row r="379" spans="7:8" x14ac:dyDescent="0.35">
      <c r="G379" s="77"/>
      <c r="H379" s="77"/>
    </row>
    <row r="380" spans="7:8" x14ac:dyDescent="0.35">
      <c r="G380" s="77"/>
      <c r="H380" s="77"/>
    </row>
    <row r="381" spans="7:8" x14ac:dyDescent="0.35">
      <c r="G381" s="77"/>
      <c r="H381" s="77"/>
    </row>
    <row r="382" spans="7:8" x14ac:dyDescent="0.35">
      <c r="G382" s="77"/>
      <c r="H382" s="77"/>
    </row>
    <row r="383" spans="7:8" x14ac:dyDescent="0.35">
      <c r="G383" s="77"/>
      <c r="H383" s="77"/>
    </row>
    <row r="384" spans="7:8" x14ac:dyDescent="0.35">
      <c r="G384" s="77"/>
      <c r="H384" s="77"/>
    </row>
    <row r="385" spans="7:8" x14ac:dyDescent="0.35">
      <c r="G385" s="77"/>
      <c r="H385" s="77"/>
    </row>
    <row r="386" spans="7:8" x14ac:dyDescent="0.35">
      <c r="G386" s="77"/>
      <c r="H386" s="77"/>
    </row>
    <row r="387" spans="7:8" x14ac:dyDescent="0.35">
      <c r="G387" s="77"/>
      <c r="H387" s="77"/>
    </row>
    <row r="388" spans="7:8" x14ac:dyDescent="0.35">
      <c r="G388" s="77"/>
      <c r="H388" s="77"/>
    </row>
    <row r="389" spans="7:8" x14ac:dyDescent="0.35">
      <c r="G389" s="77"/>
      <c r="H389" s="77"/>
    </row>
    <row r="390" spans="7:8" x14ac:dyDescent="0.35">
      <c r="G390" s="77"/>
      <c r="H390" s="77"/>
    </row>
    <row r="391" spans="7:8" x14ac:dyDescent="0.35">
      <c r="G391" s="77"/>
      <c r="H391" s="77"/>
    </row>
    <row r="392" spans="7:8" x14ac:dyDescent="0.35">
      <c r="G392" s="77"/>
      <c r="H392" s="77"/>
    </row>
    <row r="393" spans="7:8" x14ac:dyDescent="0.35">
      <c r="G393" s="77"/>
      <c r="H393" s="77"/>
    </row>
    <row r="394" spans="7:8" x14ac:dyDescent="0.35">
      <c r="G394" s="77"/>
      <c r="H394" s="77"/>
    </row>
    <row r="395" spans="7:8" x14ac:dyDescent="0.35">
      <c r="G395" s="77"/>
      <c r="H395" s="77"/>
    </row>
    <row r="396" spans="7:8" x14ac:dyDescent="0.35">
      <c r="G396" s="77"/>
      <c r="H396" s="77"/>
    </row>
    <row r="397" spans="7:8" x14ac:dyDescent="0.35">
      <c r="G397" s="77"/>
      <c r="H397" s="77"/>
    </row>
    <row r="398" spans="7:8" x14ac:dyDescent="0.35">
      <c r="G398" s="77"/>
      <c r="H398" s="77"/>
    </row>
    <row r="399" spans="7:8" x14ac:dyDescent="0.35">
      <c r="G399" s="77"/>
      <c r="H399" s="77"/>
    </row>
    <row r="400" spans="7:8" x14ac:dyDescent="0.35">
      <c r="G400" s="77"/>
      <c r="H400" s="77"/>
    </row>
    <row r="401" spans="7:8" x14ac:dyDescent="0.35">
      <c r="G401" s="77"/>
      <c r="H401" s="77"/>
    </row>
    <row r="402" spans="7:8" x14ac:dyDescent="0.35">
      <c r="G402" s="77"/>
      <c r="H402" s="77"/>
    </row>
    <row r="403" spans="7:8" x14ac:dyDescent="0.35">
      <c r="G403" s="77"/>
      <c r="H403" s="77"/>
    </row>
    <row r="404" spans="7:8" x14ac:dyDescent="0.35">
      <c r="G404" s="77"/>
      <c r="H404" s="77"/>
    </row>
    <row r="405" spans="7:8" x14ac:dyDescent="0.35">
      <c r="G405" s="77"/>
      <c r="H405" s="77"/>
    </row>
    <row r="406" spans="7:8" x14ac:dyDescent="0.35">
      <c r="G406" s="77"/>
      <c r="H406" s="77"/>
    </row>
    <row r="407" spans="7:8" x14ac:dyDescent="0.35">
      <c r="G407" s="77"/>
      <c r="H407" s="77"/>
    </row>
    <row r="408" spans="7:8" x14ac:dyDescent="0.35">
      <c r="G408" s="77"/>
      <c r="H408" s="77"/>
    </row>
    <row r="409" spans="7:8" x14ac:dyDescent="0.35">
      <c r="G409" s="77"/>
      <c r="H409" s="77"/>
    </row>
    <row r="410" spans="7:8" x14ac:dyDescent="0.35">
      <c r="G410" s="77"/>
      <c r="H410" s="77"/>
    </row>
    <row r="411" spans="7:8" x14ac:dyDescent="0.35">
      <c r="G411" s="77"/>
      <c r="H411" s="77"/>
    </row>
    <row r="412" spans="7:8" x14ac:dyDescent="0.35">
      <c r="G412" s="77"/>
      <c r="H412" s="77"/>
    </row>
    <row r="413" spans="7:8" x14ac:dyDescent="0.35">
      <c r="G413" s="77"/>
      <c r="H413" s="77"/>
    </row>
    <row r="414" spans="7:8" x14ac:dyDescent="0.35">
      <c r="G414" s="77"/>
      <c r="H414" s="77"/>
    </row>
    <row r="415" spans="7:8" x14ac:dyDescent="0.35">
      <c r="G415" s="77"/>
      <c r="H415" s="77"/>
    </row>
    <row r="416" spans="7:8" x14ac:dyDescent="0.35">
      <c r="G416" s="77"/>
      <c r="H416" s="77"/>
    </row>
    <row r="417" spans="7:8" x14ac:dyDescent="0.35">
      <c r="G417" s="77"/>
      <c r="H417" s="77"/>
    </row>
    <row r="418" spans="7:8" x14ac:dyDescent="0.35">
      <c r="G418" s="77"/>
      <c r="H418" s="77"/>
    </row>
    <row r="419" spans="7:8" x14ac:dyDescent="0.35">
      <c r="G419" s="77"/>
      <c r="H419" s="77"/>
    </row>
    <row r="420" spans="7:8" x14ac:dyDescent="0.35">
      <c r="G420" s="77"/>
      <c r="H420" s="77"/>
    </row>
    <row r="421" spans="7:8" x14ac:dyDescent="0.35">
      <c r="G421" s="77"/>
      <c r="H421" s="77"/>
    </row>
    <row r="422" spans="7:8" x14ac:dyDescent="0.35">
      <c r="G422" s="77"/>
      <c r="H422" s="77"/>
    </row>
    <row r="423" spans="7:8" x14ac:dyDescent="0.35">
      <c r="G423" s="77"/>
      <c r="H423" s="77"/>
    </row>
    <row r="424" spans="7:8" x14ac:dyDescent="0.35">
      <c r="G424" s="77"/>
      <c r="H424" s="77"/>
    </row>
    <row r="425" spans="7:8" x14ac:dyDescent="0.35">
      <c r="G425" s="77"/>
      <c r="H425" s="77"/>
    </row>
    <row r="426" spans="7:8" x14ac:dyDescent="0.35">
      <c r="G426" s="77"/>
      <c r="H426" s="77"/>
    </row>
    <row r="427" spans="7:8" x14ac:dyDescent="0.35">
      <c r="G427" s="77"/>
      <c r="H427" s="77"/>
    </row>
    <row r="428" spans="7:8" x14ac:dyDescent="0.35">
      <c r="G428" s="77"/>
      <c r="H428" s="77"/>
    </row>
    <row r="429" spans="7:8" x14ac:dyDescent="0.35">
      <c r="G429" s="77"/>
      <c r="H429" s="77"/>
    </row>
    <row r="430" spans="7:8" x14ac:dyDescent="0.35">
      <c r="G430" s="77"/>
      <c r="H430" s="77"/>
    </row>
    <row r="431" spans="7:8" x14ac:dyDescent="0.35">
      <c r="G431" s="77"/>
      <c r="H431" s="77"/>
    </row>
    <row r="432" spans="7:8" x14ac:dyDescent="0.35">
      <c r="G432" s="77"/>
      <c r="H432" s="77"/>
    </row>
    <row r="433" spans="7:8" x14ac:dyDescent="0.35">
      <c r="G433" s="77"/>
      <c r="H433" s="77"/>
    </row>
    <row r="434" spans="7:8" x14ac:dyDescent="0.35">
      <c r="G434" s="77"/>
      <c r="H434" s="77"/>
    </row>
    <row r="435" spans="7:8" x14ac:dyDescent="0.35">
      <c r="G435" s="77"/>
      <c r="H435" s="77"/>
    </row>
    <row r="436" spans="7:8" x14ac:dyDescent="0.35">
      <c r="G436" s="77"/>
      <c r="H436" s="77"/>
    </row>
    <row r="437" spans="7:8" x14ac:dyDescent="0.35">
      <c r="G437" s="77"/>
      <c r="H437" s="77"/>
    </row>
    <row r="438" spans="7:8" x14ac:dyDescent="0.35">
      <c r="G438" s="77"/>
      <c r="H438" s="77"/>
    </row>
    <row r="439" spans="7:8" x14ac:dyDescent="0.35">
      <c r="G439" s="77"/>
      <c r="H439" s="77"/>
    </row>
    <row r="440" spans="7:8" x14ac:dyDescent="0.35">
      <c r="G440" s="77"/>
      <c r="H440" s="77"/>
    </row>
    <row r="441" spans="7:8" x14ac:dyDescent="0.35">
      <c r="G441" s="77"/>
      <c r="H441" s="77"/>
    </row>
    <row r="442" spans="7:8" x14ac:dyDescent="0.35">
      <c r="G442" s="77"/>
      <c r="H442" s="77"/>
    </row>
    <row r="443" spans="7:8" x14ac:dyDescent="0.35">
      <c r="G443" s="77"/>
      <c r="H443" s="77"/>
    </row>
    <row r="444" spans="7:8" x14ac:dyDescent="0.35">
      <c r="G444" s="77"/>
      <c r="H444" s="77"/>
    </row>
    <row r="445" spans="7:8" x14ac:dyDescent="0.35">
      <c r="G445" s="77"/>
      <c r="H445" s="77"/>
    </row>
    <row r="446" spans="7:8" x14ac:dyDescent="0.35">
      <c r="G446" s="77"/>
      <c r="H446" s="77"/>
    </row>
    <row r="447" spans="7:8" x14ac:dyDescent="0.35">
      <c r="G447" s="77"/>
      <c r="H447" s="77"/>
    </row>
    <row r="448" spans="7:8" x14ac:dyDescent="0.35">
      <c r="G448" s="77"/>
      <c r="H448" s="77"/>
    </row>
    <row r="449" spans="7:8" x14ac:dyDescent="0.35">
      <c r="G449" s="77"/>
      <c r="H449" s="77"/>
    </row>
    <row r="450" spans="7:8" x14ac:dyDescent="0.35">
      <c r="G450" s="77"/>
      <c r="H450" s="77"/>
    </row>
    <row r="451" spans="7:8" x14ac:dyDescent="0.35">
      <c r="G451" s="77"/>
      <c r="H451" s="77"/>
    </row>
    <row r="452" spans="7:8" x14ac:dyDescent="0.35">
      <c r="G452" s="77"/>
      <c r="H452" s="77"/>
    </row>
    <row r="453" spans="7:8" x14ac:dyDescent="0.35">
      <c r="G453" s="77"/>
      <c r="H453" s="77"/>
    </row>
    <row r="454" spans="7:8" x14ac:dyDescent="0.35">
      <c r="G454" s="77"/>
      <c r="H454" s="77"/>
    </row>
    <row r="455" spans="7:8" x14ac:dyDescent="0.35">
      <c r="G455" s="77"/>
      <c r="H455" s="77"/>
    </row>
    <row r="456" spans="7:8" x14ac:dyDescent="0.35">
      <c r="G456" s="77"/>
      <c r="H456" s="77"/>
    </row>
    <row r="457" spans="7:8" x14ac:dyDescent="0.35">
      <c r="G457" s="77"/>
      <c r="H457" s="77"/>
    </row>
    <row r="458" spans="7:8" x14ac:dyDescent="0.35">
      <c r="G458" s="77"/>
      <c r="H458" s="77"/>
    </row>
    <row r="459" spans="7:8" x14ac:dyDescent="0.35">
      <c r="G459" s="77"/>
      <c r="H459" s="77"/>
    </row>
    <row r="460" spans="7:8" x14ac:dyDescent="0.35">
      <c r="G460" s="77"/>
      <c r="H460" s="77"/>
    </row>
    <row r="461" spans="7:8" x14ac:dyDescent="0.35">
      <c r="G461" s="77"/>
      <c r="H461" s="77"/>
    </row>
    <row r="462" spans="7:8" x14ac:dyDescent="0.35">
      <c r="G462" s="77"/>
      <c r="H462" s="77"/>
    </row>
  </sheetData>
  <mergeCells count="1">
    <mergeCell ref="B1:J1"/>
  </mergeCells>
  <phoneticPr fontId="7" type="noConversion"/>
  <conditionalFormatting sqref="I1:I1048576">
    <cfRule type="cellIs" dxfId="1" priority="1" operator="equal">
      <formula>"PAGO"</formula>
    </cfRule>
    <cfRule type="cellIs" dxfId="0" priority="2" operator="equal">
      <formula>"A PAGAR"</formula>
    </cfRule>
  </conditionalFormatting>
  <printOptions horizontalCentered="1"/>
  <pageMargins left="0" right="0" top="0" bottom="0" header="0" footer="0"/>
  <pageSetup paperSize="9" scale="73" orientation="landscape" r:id="rId1"/>
  <headerFooter>
    <oddFooter>&amp;C&amp;8CONTROLE DE DESPESAS</oddFooter>
  </headerFooter>
  <rowBreaks count="7" manualBreakCount="7">
    <brk id="26" max="16383" man="1"/>
    <brk id="62" max="16383" man="1"/>
    <brk id="98" max="16383" man="1"/>
    <brk id="122" max="9" man="1"/>
    <brk id="154" max="9" man="1"/>
    <brk id="176" max="16383" man="1"/>
    <brk id="197" max="9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ATENÇÃO" error="SELECIONE ALGUM PLANO DE CONTAS CADASTRADO!!" xr:uid="{52D031E8-5E67-41F6-96CD-715C0A78C71B}">
          <x14:formula1>
            <xm:f>'Planos de Contas'!$A$2:$A$10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6BD1-8BDF-4568-AA73-319CD45EE39E}">
  <dimension ref="A1:A461"/>
  <sheetViews>
    <sheetView showGridLines="0" workbookViewId="0">
      <selection activeCell="A3" sqref="A3"/>
    </sheetView>
  </sheetViews>
  <sheetFormatPr defaultRowHeight="14.5" x14ac:dyDescent="0.35"/>
  <cols>
    <col min="1" max="1" width="26.26953125" style="74" customWidth="1"/>
  </cols>
  <sheetData>
    <row r="1" spans="1:1" x14ac:dyDescent="0.35">
      <c r="A1" s="73" t="s">
        <v>97</v>
      </c>
    </row>
    <row r="2" spans="1:1" x14ac:dyDescent="0.35">
      <c r="A2" s="81" t="s">
        <v>15</v>
      </c>
    </row>
    <row r="3" spans="1:1" x14ac:dyDescent="0.35">
      <c r="A3" s="81" t="s">
        <v>89</v>
      </c>
    </row>
    <row r="4" spans="1:1" x14ac:dyDescent="0.35">
      <c r="A4" s="81" t="s">
        <v>2</v>
      </c>
    </row>
    <row r="5" spans="1:1" x14ac:dyDescent="0.35">
      <c r="A5" s="81" t="s">
        <v>13</v>
      </c>
    </row>
    <row r="6" spans="1:1" x14ac:dyDescent="0.35">
      <c r="A6" s="81" t="s">
        <v>0</v>
      </c>
    </row>
    <row r="7" spans="1:1" x14ac:dyDescent="0.35">
      <c r="A7" s="81" t="s">
        <v>16</v>
      </c>
    </row>
    <row r="8" spans="1:1" x14ac:dyDescent="0.35">
      <c r="A8"/>
    </row>
    <row r="9" spans="1:1" x14ac:dyDescent="0.35">
      <c r="A9"/>
    </row>
    <row r="10" spans="1:1" x14ac:dyDescent="0.35">
      <c r="A10"/>
    </row>
    <row r="11" spans="1:1" x14ac:dyDescent="0.35">
      <c r="A11"/>
    </row>
    <row r="12" spans="1:1" x14ac:dyDescent="0.35">
      <c r="A12"/>
    </row>
    <row r="13" spans="1:1" x14ac:dyDescent="0.35">
      <c r="A13"/>
    </row>
    <row r="14" spans="1:1" x14ac:dyDescent="0.35">
      <c r="A14"/>
    </row>
    <row r="15" spans="1:1" x14ac:dyDescent="0.35">
      <c r="A15"/>
    </row>
    <row r="16" spans="1:1" x14ac:dyDescent="0.35">
      <c r="A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C721-1852-4D94-A61A-E65C4C0DFE9C}">
  <dimension ref="A1"/>
  <sheetViews>
    <sheetView showGridLines="0"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MACRO</vt:lpstr>
      <vt:lpstr>Controle de Despesas</vt:lpstr>
      <vt:lpstr>Planos de Contas</vt:lpstr>
      <vt:lpstr>Dashboard</vt:lpstr>
      <vt:lpstr>'Controle de Despesas'!Area_de_impressao</vt:lpstr>
      <vt:lpstr>'Controle de Despesas'!Titulos_de_impressao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Alfredo Antônio de Oliveira</cp:lastModifiedBy>
  <cp:lastPrinted>2024-08-28T22:16:22Z</cp:lastPrinted>
  <dcterms:created xsi:type="dcterms:W3CDTF">2024-07-25T13:11:36Z</dcterms:created>
  <dcterms:modified xsi:type="dcterms:W3CDTF">2024-08-28T22:17:00Z</dcterms:modified>
</cp:coreProperties>
</file>